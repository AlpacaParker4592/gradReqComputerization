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8802B907-FD10-473C-BE67-4B89AAA3FA1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8" l="1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M13" i="8"/>
  <c r="L13" i="8"/>
  <c r="K13" i="8"/>
  <c r="J13" i="8"/>
  <c r="I13" i="8"/>
  <c r="H13" i="8"/>
  <c r="G13" i="8"/>
  <c r="F13" i="8"/>
  <c r="E13" i="8"/>
  <c r="D13" i="8"/>
  <c r="C13" i="8"/>
  <c r="M12" i="8"/>
  <c r="L12" i="8"/>
  <c r="K12" i="8"/>
  <c r="J12" i="8"/>
  <c r="I12" i="8"/>
  <c r="H12" i="8"/>
  <c r="G12" i="8"/>
  <c r="F12" i="8"/>
  <c r="E12" i="8"/>
  <c r="D12" i="8"/>
  <c r="C12" i="8"/>
  <c r="M11" i="8"/>
  <c r="L11" i="8"/>
  <c r="K11" i="8"/>
  <c r="J11" i="8"/>
  <c r="I11" i="8"/>
  <c r="H11" i="8"/>
  <c r="G11" i="8"/>
  <c r="F11" i="8"/>
  <c r="E11" i="8"/>
  <c r="D11" i="8"/>
  <c r="C11" i="8"/>
  <c r="M10" i="8"/>
  <c r="L10" i="8"/>
  <c r="K10" i="8"/>
  <c r="J10" i="8"/>
  <c r="I10" i="8"/>
  <c r="H10" i="8"/>
  <c r="G10" i="8"/>
  <c r="F10" i="8"/>
  <c r="E10" i="8"/>
  <c r="D10" i="8"/>
  <c r="C10" i="8"/>
  <c r="M9" i="8"/>
  <c r="L9" i="8"/>
  <c r="K9" i="8"/>
  <c r="J9" i="8"/>
  <c r="I9" i="8"/>
  <c r="G9" i="8"/>
  <c r="F9" i="8"/>
  <c r="E9" i="8"/>
  <c r="D9" i="8"/>
  <c r="C9" i="8"/>
  <c r="M8" i="8"/>
  <c r="L8" i="8"/>
  <c r="K8" i="8"/>
  <c r="J8" i="8"/>
  <c r="I8" i="8"/>
  <c r="G8" i="8"/>
  <c r="F8" i="8"/>
  <c r="E8" i="8"/>
  <c r="D8" i="8"/>
  <c r="C8" i="8"/>
  <c r="M7" i="8"/>
  <c r="L7" i="8"/>
  <c r="K7" i="8"/>
  <c r="J7" i="8"/>
  <c r="I7" i="8"/>
  <c r="G7" i="8"/>
  <c r="F7" i="8"/>
  <c r="E7" i="8"/>
  <c r="D7" i="8"/>
  <c r="C7" i="8"/>
  <c r="B3" i="8"/>
  <c r="E115" i="4"/>
  <c r="E114" i="4" s="1"/>
  <c r="E113" i="4" s="1"/>
  <c r="D44" i="8" l="1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100" i="4"/>
  <c r="J99" i="4" s="1"/>
  <c r="J98" i="4"/>
  <c r="J97" i="4" s="1"/>
  <c r="E98" i="4"/>
  <c r="E97" i="4" s="1"/>
  <c r="E96" i="4" s="1"/>
  <c r="J82" i="4"/>
  <c r="J81" i="4" s="1"/>
  <c r="J80" i="4"/>
  <c r="J79" i="4" s="1"/>
  <c r="E80" i="4"/>
  <c r="E79" i="4" s="1"/>
  <c r="E78" i="4" s="1"/>
  <c r="E73" i="4"/>
  <c r="E72" i="4" s="1"/>
  <c r="E71" i="4"/>
  <c r="E70" i="4" s="1"/>
  <c r="E52" i="4"/>
  <c r="E51" i="4"/>
  <c r="E50" i="4"/>
  <c r="E49" i="4"/>
  <c r="E48" i="4"/>
  <c r="E47" i="4"/>
  <c r="E46" i="4"/>
  <c r="E39" i="4"/>
  <c r="E37" i="4"/>
  <c r="E36" i="4"/>
  <c r="E29" i="4"/>
  <c r="E27" i="4"/>
  <c r="E26" i="4"/>
  <c r="E24" i="4"/>
  <c r="E23" i="4"/>
  <c r="E21" i="4"/>
  <c r="E20" i="4"/>
  <c r="E13" i="4"/>
  <c r="E12" i="4"/>
  <c r="E11" i="4"/>
  <c r="E10" i="4"/>
  <c r="E8" i="4"/>
  <c r="E7" i="4"/>
  <c r="D43" i="8" l="1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E69" i="4"/>
  <c r="E19" i="4" l="1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E57" i="4" l="1"/>
</calcChain>
</file>

<file path=xl/sharedStrings.xml><?xml version="1.0" encoding="utf-8"?>
<sst xmlns="http://schemas.openxmlformats.org/spreadsheetml/2006/main" count="768" uniqueCount="300">
  <si>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</si>
  <si>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</si>
  <si>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</si>
  <si>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</si>
  <si>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</si>
  <si>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</si>
  <si>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</si>
  <si>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</si>
  <si>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</si>
  <si>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</si>
  <si>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</si>
  <si>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</si>
  <si>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</si>
  <si>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</si>
  <si>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</si>
  <si>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</si>
  <si>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</si>
  <si>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</si>
  <si>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</si>
  <si>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</si>
  <si>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</si>
  <si>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</si>
  <si>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</si>
  <si>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</si>
  <si>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</si>
  <si>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</si>
  <si>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</si>
  <si>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</si>
  <si>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</si>
  <si>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</si>
  <si>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</si>
  <si>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</si>
  <si>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</si>
  <si>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</si>
  <si>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</si>
  <si>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</si>
  <si>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</si>
  <si>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</si>
  <si>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</si>
  <si>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</si>
  <si>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</si>
  <si>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</si>
  <si>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일반생물학실험 I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</si>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</sst>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37" xfId="0" applyNumberFormat="1" applyFont="1" applyFill="1" applyBorder="1" applyAlignment="1">
      <alignment horizontal="left" vertical="center"/>
    </xf>
    <xf numFmtId="176" fontId="6" fillId="25" borderId="0" xfId="0" applyNumberFormat="1" applyFont="1" applyFill="1" applyAlignment="1">
      <alignment horizontal="left" vertical="center"/>
    </xf>
    <xf numFmtId="176" fontId="6" fillId="25" borderId="40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176" fontId="4" fillId="0" borderId="45" xfId="0" applyNumberFormat="1" applyFont="1" applyBorder="1" applyAlignment="1">
      <alignment horizontal="right" vertical="center"/>
    </xf>
    <xf numFmtId="176" fontId="4" fillId="0" borderId="46" xfId="0" applyNumberFormat="1" applyFont="1" applyBorder="1" applyAlignment="1">
      <alignment horizontal="right" vertical="center"/>
    </xf>
    <xf numFmtId="49" fontId="4" fillId="11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176" fontId="4" fillId="0" borderId="39" xfId="0" applyNumberFormat="1" applyFont="1" applyBorder="1" applyAlignment="1">
      <alignment horizontal="left" vertical="center"/>
    </xf>
    <xf numFmtId="176" fontId="4" fillId="0" borderId="0" xfId="0" applyNumberFormat="1" applyFont="1" applyAlignment="1">
      <alignment horizontal="left" vertical="center" wrapText="1"/>
    </xf>
    <xf numFmtId="176" fontId="7" fillId="0" borderId="38" xfId="0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left" vertical="center" wrapText="1"/>
    </xf>
  </cellXfs>
  <cellStyles count="1">
    <cellStyle name="표준" xfId="0" builtinId="0"/>
  </cellStyles>
  <dxfs count="55">
    <dxf>
      <font>
        <b val="0"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family val="3"/>
        <charset val="129"/>
      </font>
      <numFmt numFmtId="176" formatCode="0&quot;학번&quot;"/>
      <alignment horizontal="left" vertical="center" textRotation="0" wrapText="1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54"/>
      <tableStyleElement type="firstColumn" dxfId="53"/>
      <tableStyleElement type="firstColumnStripe" dxfId="52"/>
    </tableStyle>
    <tableStyle name="피벗 테이블 스타일 1" table="0" count="2" xr9:uid="{B967C283-0F15-433D-910D-560181AF7A1D}">
      <tableStyleElement type="wholeTable" dxfId="51"/>
      <tableStyleElement type="firstColumn" dxfId="50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9" dataDxfId="48">
  <tableColumns count="12">
    <tableColumn id="1" xr3:uid="{3E000FE0-06DA-47DB-9462-01686BF81D7D}" name="학번" dataDxfId="47"/>
    <tableColumn id="2" xr3:uid="{C1398AA6-1813-4419-A1BC-E42376CF6A9A}" name="1-1. 기초과학 분야_x000a_- 수학" dataDxfId="46">
      <calculatedColumnFormula>공통졸업요건!$E$5</calculatedColumnFormula>
    </tableColumn>
    <tableColumn id="3" xr3:uid="{16402FF2-45B9-4F20-9D38-0CF321CCECE2}" name="1-2. 기초과학 분야_x000a_- 과학" dataDxfId="45">
      <calculatedColumnFormula>공통졸업요건!$E$18</calculatedColumnFormula>
    </tableColumn>
    <tableColumn id="4" xr3:uid="{4A0B3545-C6BE-491B-834A-7F75FDF00177}" name="2-1. 언어의 기초 분야_x000a_- 영어" dataDxfId="44">
      <calculatedColumnFormula>공통졸업요건!$E$34</calculatedColumnFormula>
    </tableColumn>
    <tableColumn id="5" xr3:uid="{33CBC962-F37C-47D1-B39B-296110C78297}" name="2-2. 언어의 기초 분야_x000a_- 글쓰기" dataDxfId="43">
      <calculatedColumnFormula>공통졸업요건!$E$44</calculatedColumnFormula>
    </tableColumn>
    <tableColumn id="6" xr3:uid="{D4988217-9E9A-4CAE-B8BD-4EBA071A391E}" name="3. 인문사회 분야" dataDxfId="42">
      <calculatedColumnFormula>공통졸업요건!$E$57</calculatedColumnFormula>
    </tableColumn>
    <tableColumn id="7" xr3:uid="{FEC002AC-A59B-4A35-974C-00FC77C0B2DD}" name="4. 소프트웨어" dataDxfId="41">
      <calculatedColumnFormula>공통졸업요건!$E$69</calculatedColumnFormula>
    </tableColumn>
    <tableColumn id="8" xr3:uid="{50F40CE2-EF17-480A-9960-90B85403EB34}" name="5. 1학년 이수 과목" dataDxfId="40"/>
    <tableColumn id="9" xr3:uid="{718B788A-5670-4E96-975C-BCBC39B2FE79}" name="6. 예체능 과목" dataDxfId="39">
      <calculatedColumnFormula>공통졸업요건!$E$87</calculatedColumnFormula>
    </tableColumn>
    <tableColumn id="10" xr3:uid="{C6ACEBA5-5E0F-44E5-AAD4-E280478D1854}" name="7. 공통필수 이수 과목_x000a_(콜로퀴움, 과기경)" dataDxfId="38">
      <calculatedColumnFormula>공통졸업요건!$J$96</calculatedColumnFormula>
    </tableColumn>
    <tableColumn id="11" xr3:uid="{BBF92757-923D-4A21-B9E8-411E1D809031}" name="8. 연구 과목" dataDxfId="37">
      <calculatedColumnFormula>공통졸업요건!$E$105</calculatedColumnFormula>
    </tableColumn>
    <tableColumn id="12" xr3:uid="{867E4052-0EC2-4250-8C5F-CAF81EEDB45A}" name="9. 전체 평점 평균_x000a_(2.0 이상)" dataDxfId="36">
      <calculatedColumnFormula>공통졸업요건!$E$113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35" dataDxfId="34">
  <tableColumns count="8">
    <tableColumn id="1" xr3:uid="{C695C0D8-0A73-472C-92A6-C868651E2EDF}" name="학번" dataDxfId="33"/>
    <tableColumn id="2" xr3:uid="{00484B2A-14BC-41EC-A7BC-C01DCC1B531E}" name="전기전자컴퓨터전공" dataDxfId="32">
      <calculatedColumnFormula>전공별졸업요건!$J$5</calculatedColumnFormula>
    </tableColumn>
    <tableColumn id="3" xr3:uid="{10BB43A4-B12B-479D-B120-517CF41C7BD9}" name="신소재공학전공" dataDxfId="31">
      <calculatedColumnFormula>전공별졸업요건!$J$15</calculatedColumnFormula>
    </tableColumn>
    <tableColumn id="4" xr3:uid="{28074B42-7152-41BC-9264-B6EAFC38D221}" name="기계공학전공" dataDxfId="30">
      <calculatedColumnFormula>전공별졸업요건!$O$29</calculatedColumnFormula>
    </tableColumn>
    <tableColumn id="5" xr3:uid="{16243DDD-D69D-4D6E-91FC-064AC3CB848C}" name="지구환경공학전공" dataDxfId="29">
      <calculatedColumnFormula>전공별졸업요건!$J$43</calculatedColumnFormula>
    </tableColumn>
    <tableColumn id="6" xr3:uid="{73A87B5F-F8AC-42BD-9781-DBEA0B0477A2}" name="생명과학전공" dataDxfId="28">
      <calculatedColumnFormula>전공별졸업요건!$J$57</calculatedColumnFormula>
    </tableColumn>
    <tableColumn id="7" xr3:uid="{C11AEFB5-1534-4535-8EF4-AEE5392044C4}" name="물리전공" dataDxfId="27">
      <calculatedColumnFormula>전공별졸업요건!$J$72</calculatedColumnFormula>
    </tableColumn>
    <tableColumn id="8" xr3:uid="{8A3BA68C-9228-46C0-A61C-34C615FABFD7}" name="화학전공" dataDxfId="26">
      <calculatedColumnFormula>전공별졸업요건!$J$88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25" dataDxfId="24">
  <tableColumns count="8">
    <tableColumn id="1" xr3:uid="{136137DF-EC75-41E5-8689-E0F6566B403B}" name="학번" dataDxfId="23"/>
    <tableColumn id="2" xr3:uid="{DA3F6E4F-D6C4-437F-A248-F5E875652F8F}" name="전기전자컴퓨터전공" dataDxfId="22">
      <calculatedColumnFormula>전공별졸업요건!$J$10</calculatedColumnFormula>
    </tableColumn>
    <tableColumn id="3" xr3:uid="{38944F1E-ED20-410D-9B9B-FBBE50EF9A6E}" name="신소재공학전공" dataDxfId="21">
      <calculatedColumnFormula>전공별졸업요건!$J$24</calculatedColumnFormula>
    </tableColumn>
    <tableColumn id="4" xr3:uid="{ADE536A0-DCD8-48A9-B95A-D867BAD63B36}" name="기계공학전공" dataDxfId="20">
      <calculatedColumnFormula>전공별졸업요건!$O$38</calculatedColumnFormula>
    </tableColumn>
    <tableColumn id="5" xr3:uid="{CF626C8D-292A-4906-B0F8-ADACA6D80552}" name="지구환경공학전공" dataDxfId="19">
      <calculatedColumnFormula>전공별졸업요건!$J$51</calculatedColumnFormula>
    </tableColumn>
    <tableColumn id="6" xr3:uid="{FA40B1FF-485C-4545-8EDD-FC90DD93865F}" name="생명과학전공" dataDxfId="18">
      <calculatedColumnFormula>전공별졸업요건!$J$67</calculatedColumnFormula>
    </tableColumn>
    <tableColumn id="7" xr3:uid="{8D6C685B-7B30-45CC-B31A-B085BF889301}" name="물리전공" dataDxfId="17">
      <calculatedColumnFormula>전공별졸업요건!$J$83</calculatedColumnFormula>
    </tableColumn>
    <tableColumn id="8" xr3:uid="{B0CEAA05-54E1-4784-8C72-3AAC0652942F}" name="화학전공" dataDxfId="16">
      <calculatedColumnFormula>전공별졸업요건!$J$98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15" dataDxfId="14">
  <autoFilter ref="B35:I44" xr:uid="{AAC890CC-99C8-4FE0-BAE4-AB674D9EFD59}"/>
  <tableColumns count="8">
    <tableColumn id="1" xr3:uid="{C855F198-20E5-4E97-B8BD-897E1CE69233}" name="학점이수현황" dataDxfId="6"/>
    <tableColumn id="2" xr3:uid="{C5963932-1D19-4A56-8F80-1DB704F93119}" name="전기전자컴퓨터전공" dataDxfId="7"/>
    <tableColumn id="3" xr3:uid="{65969E11-B57E-42AA-BFB3-0197A3DDF4AB}" name="신소재공학전공" dataDxfId="13"/>
    <tableColumn id="4" xr3:uid="{2C826FBD-2C22-4778-8FD6-E79B019638C0}" name="기계공학전공" dataDxfId="12"/>
    <tableColumn id="5" xr3:uid="{B0A9E799-B286-4584-8B53-E249CC18C8DE}" name="지구환경공학전공" dataDxfId="11"/>
    <tableColumn id="6" xr3:uid="{DA931662-5B60-45E2-9CA8-03D1A50CC1B8}" name="생명과학전공" dataDxfId="10"/>
    <tableColumn id="7" xr3:uid="{1ED42D7D-3A69-4D6E-A06F-32EBC666B26E}" name="물리전공" dataDxfId="9"/>
    <tableColumn id="8" xr3:uid="{474E753E-0887-4FA3-8C04-19D5E74C4B33}" name="화학전공" dataDxfId="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/>
    </sheetView>
  </sheetViews>
  <sheetFormatPr defaultColWidth="25.69921875" defaultRowHeight="19.95" customHeight="1"/>
  <cols>
    <col min="1" max="1" width="1" style="102" customWidth="1"/>
    <col min="2" max="2" width="15.69921875" style="168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27" t="s">
        <v>270</v>
      </c>
      <c r="G2" s="131" t="s">
        <v>293</v>
      </c>
      <c r="H2" s="132"/>
      <c r="I2" s="132"/>
      <c r="J2" s="132"/>
      <c r="K2" s="133"/>
    </row>
    <row r="3" spans="2:13" s="108" customFormat="1" ht="19.95" customHeight="1" thickBot="1">
      <c r="B3" s="171">
        <f>IF(INT(수강과목요약!$C$2/10000)-2000&lt;15,15,INT(수강과목요약!$C$2/10000)-2000)</f>
        <v>15</v>
      </c>
      <c r="C3" s="130"/>
      <c r="G3" s="134"/>
      <c r="H3" s="135"/>
      <c r="I3" s="135"/>
      <c r="J3" s="135"/>
      <c r="K3" s="136"/>
    </row>
    <row r="4" spans="2:13" ht="19.95" customHeight="1">
      <c r="K4" s="107"/>
      <c r="L4" s="107"/>
    </row>
    <row r="5" spans="2:13" ht="19.95" customHeight="1">
      <c r="B5" s="128" t="s">
        <v>295</v>
      </c>
      <c r="K5" s="114"/>
      <c r="L5" s="114"/>
    </row>
    <row r="6" spans="2:13" s="108" customFormat="1" ht="40.049999999999997" customHeight="1">
      <c r="B6" s="169" t="s">
        <v>296</v>
      </c>
      <c r="C6" s="109" t="s">
        <v>279</v>
      </c>
      <c r="D6" s="109" t="s">
        <v>280</v>
      </c>
      <c r="E6" s="109" t="s">
        <v>281</v>
      </c>
      <c r="F6" s="109" t="s">
        <v>282</v>
      </c>
      <c r="G6" s="107" t="s">
        <v>277</v>
      </c>
      <c r="H6" s="107" t="s">
        <v>96</v>
      </c>
      <c r="I6" s="107" t="s">
        <v>105</v>
      </c>
      <c r="J6" s="107" t="s">
        <v>122</v>
      </c>
      <c r="K6" s="109" t="s">
        <v>278</v>
      </c>
      <c r="L6" s="107" t="s">
        <v>256</v>
      </c>
      <c r="M6" s="109" t="s">
        <v>283</v>
      </c>
    </row>
    <row r="7" spans="2:13" ht="19.95" customHeight="1">
      <c r="B7" s="168">
        <v>15</v>
      </c>
      <c r="C7" s="111" t="str">
        <f>공통졸업요건!$E$5</f>
        <v>X</v>
      </c>
      <c r="D7" s="111" t="str">
        <f>공통졸업요건!$E$18</f>
        <v>X</v>
      </c>
      <c r="E7" s="111" t="str">
        <f>공통졸업요건!$E$34</f>
        <v>X</v>
      </c>
      <c r="F7" s="111" t="str">
        <f>공통졸업요건!$E$44</f>
        <v>X</v>
      </c>
      <c r="G7" s="111" t="str">
        <f>공통졸업요건!$E$57</f>
        <v>X</v>
      </c>
      <c r="H7" s="112"/>
      <c r="I7" s="111" t="str">
        <f>공통졸업요건!$E$78</f>
        <v>X</v>
      </c>
      <c r="J7" s="111" t="str">
        <f>공통졸업요건!$E$87</f>
        <v>X</v>
      </c>
      <c r="K7" s="111" t="str">
        <f>공통졸업요건!$E$96</f>
        <v>X</v>
      </c>
      <c r="L7" s="111" t="str">
        <f>공통졸업요건!$E$105</f>
        <v>X</v>
      </c>
      <c r="M7" s="111" t="str">
        <f>공통졸업요건!$E$113</f>
        <v>X</v>
      </c>
    </row>
    <row r="8" spans="2:13" ht="19.95" hidden="1" customHeight="1">
      <c r="B8" s="110">
        <v>16</v>
      </c>
      <c r="C8" s="111" t="str">
        <f>공통졸업요건!$E$5</f>
        <v>X</v>
      </c>
      <c r="D8" s="111" t="str">
        <f>공통졸업요건!$E$18</f>
        <v>X</v>
      </c>
      <c r="E8" s="111" t="str">
        <f>공통졸업요건!$E$34</f>
        <v>X</v>
      </c>
      <c r="F8" s="111" t="str">
        <f>공통졸업요건!$E$44</f>
        <v>X</v>
      </c>
      <c r="G8" s="111" t="str">
        <f>공통졸업요건!$E$57</f>
        <v>X</v>
      </c>
      <c r="H8" s="112"/>
      <c r="I8" s="111" t="str">
        <f>공통졸업요건!$E$78</f>
        <v>X</v>
      </c>
      <c r="J8" s="111" t="str">
        <f>공통졸업요건!$E$87</f>
        <v>X</v>
      </c>
      <c r="K8" s="111" t="str">
        <f>공통졸업요건!$E$96</f>
        <v>X</v>
      </c>
      <c r="L8" s="111" t="str">
        <f>공통졸업요건!$E$105</f>
        <v>X</v>
      </c>
      <c r="M8" s="111" t="str">
        <f>공통졸업요건!$E$113</f>
        <v>X</v>
      </c>
    </row>
    <row r="9" spans="2:13" ht="19.95" hidden="1" customHeight="1">
      <c r="B9" s="110">
        <v>17</v>
      </c>
      <c r="C9" s="111" t="str">
        <f>공통졸업요건!$E$5</f>
        <v>X</v>
      </c>
      <c r="D9" s="111" t="str">
        <f>공통졸업요건!$E$18</f>
        <v>X</v>
      </c>
      <c r="E9" s="111" t="str">
        <f>공통졸업요건!$E$34</f>
        <v>X</v>
      </c>
      <c r="F9" s="111" t="str">
        <f>공통졸업요건!$E$44</f>
        <v>X</v>
      </c>
      <c r="G9" s="111" t="str">
        <f>공통졸업요건!$E$57</f>
        <v>X</v>
      </c>
      <c r="H9" s="112"/>
      <c r="I9" s="111" t="str">
        <f>공통졸업요건!$E$78</f>
        <v>X</v>
      </c>
      <c r="J9" s="111" t="str">
        <f>공통졸업요건!$E$87</f>
        <v>X</v>
      </c>
      <c r="K9" s="111" t="str">
        <f>공통졸업요건!$J$96</f>
        <v>X</v>
      </c>
      <c r="L9" s="111" t="str">
        <f>공통졸업요건!$E$105</f>
        <v>X</v>
      </c>
      <c r="M9" s="111" t="str">
        <f>공통졸업요건!$E$113</f>
        <v>X</v>
      </c>
    </row>
    <row r="10" spans="2:13" ht="19.95" hidden="1" customHeight="1">
      <c r="B10" s="110">
        <v>18</v>
      </c>
      <c r="C10" s="111" t="str">
        <f>공통졸업요건!$E$5</f>
        <v>X</v>
      </c>
      <c r="D10" s="111" t="str">
        <f>공통졸업요건!$E$18</f>
        <v>X</v>
      </c>
      <c r="E10" s="111" t="str">
        <f>공통졸업요건!$E$34</f>
        <v>X</v>
      </c>
      <c r="F10" s="111" t="str">
        <f>공통졸업요건!$E$44</f>
        <v>X</v>
      </c>
      <c r="G10" s="111" t="str">
        <f>공통졸업요건!$E$57</f>
        <v>X</v>
      </c>
      <c r="H10" s="111" t="str">
        <f>공통졸업요건!$E$69</f>
        <v>X</v>
      </c>
      <c r="I10" s="111" t="str">
        <f>공통졸업요건!$E$78</f>
        <v>X</v>
      </c>
      <c r="J10" s="111" t="str">
        <f>공통졸업요건!$E$87</f>
        <v>X</v>
      </c>
      <c r="K10" s="111" t="str">
        <f>공통졸업요건!$J$96</f>
        <v>X</v>
      </c>
      <c r="L10" s="111" t="str">
        <f>공통졸업요건!$E$105</f>
        <v>X</v>
      </c>
      <c r="M10" s="111" t="str">
        <f>공통졸업요건!$E$113</f>
        <v>X</v>
      </c>
    </row>
    <row r="11" spans="2:13" ht="17.399999999999999" hidden="1">
      <c r="B11" s="110">
        <v>19</v>
      </c>
      <c r="C11" s="111" t="str">
        <f>공통졸업요건!$E$5</f>
        <v>X</v>
      </c>
      <c r="D11" s="111" t="str">
        <f>공통졸업요건!$E$18</f>
        <v>X</v>
      </c>
      <c r="E11" s="111" t="str">
        <f>공통졸업요건!$E$34</f>
        <v>X</v>
      </c>
      <c r="F11" s="111" t="str">
        <f>공통졸업요건!$E$44</f>
        <v>X</v>
      </c>
      <c r="G11" s="111" t="str">
        <f>공통졸업요건!$E$57</f>
        <v>X</v>
      </c>
      <c r="H11" s="111" t="str">
        <f>공통졸업요건!$E$69</f>
        <v>X</v>
      </c>
      <c r="I11" s="111" t="str">
        <f>공통졸업요건!$E$78</f>
        <v>X</v>
      </c>
      <c r="J11" s="111" t="str">
        <f>공통졸업요건!$E$87</f>
        <v>X</v>
      </c>
      <c r="K11" s="111" t="str">
        <f>공통졸업요건!$J$96</f>
        <v>X</v>
      </c>
      <c r="L11" s="111" t="str">
        <f>공통졸업요건!$E$105</f>
        <v>X</v>
      </c>
      <c r="M11" s="111" t="str">
        <f>공통졸업요건!$E$113</f>
        <v>X</v>
      </c>
    </row>
    <row r="12" spans="2:13" ht="17.399999999999999" hidden="1">
      <c r="B12" s="110">
        <v>20</v>
      </c>
      <c r="C12" s="111" t="str">
        <f>공통졸업요건!$E$5</f>
        <v>X</v>
      </c>
      <c r="D12" s="111" t="str">
        <f>공통졸업요건!$E$18</f>
        <v>X</v>
      </c>
      <c r="E12" s="111" t="str">
        <f>공통졸업요건!$E$34</f>
        <v>X</v>
      </c>
      <c r="F12" s="111" t="str">
        <f>공통졸업요건!$E$44</f>
        <v>X</v>
      </c>
      <c r="G12" s="111" t="str">
        <f>공통졸업요건!$E$57</f>
        <v>X</v>
      </c>
      <c r="H12" s="111" t="str">
        <f>공통졸업요건!$E$69</f>
        <v>X</v>
      </c>
      <c r="I12" s="111" t="str">
        <f>공통졸업요건!$E$78</f>
        <v>X</v>
      </c>
      <c r="J12" s="111" t="str">
        <f>공통졸업요건!$E$87</f>
        <v>X</v>
      </c>
      <c r="K12" s="111" t="str">
        <f>공통졸업요건!$J$96</f>
        <v>X</v>
      </c>
      <c r="L12" s="111" t="str">
        <f>공통졸업요건!$E$105</f>
        <v>X</v>
      </c>
      <c r="M12" s="111" t="str">
        <f>공통졸업요건!$E$113</f>
        <v>X</v>
      </c>
    </row>
    <row r="13" spans="2:13" ht="17.399999999999999" hidden="1">
      <c r="B13" s="110">
        <v>21</v>
      </c>
      <c r="C13" s="111" t="str">
        <f>공통졸업요건!$E$5</f>
        <v>X</v>
      </c>
      <c r="D13" s="111" t="str">
        <f>공통졸업요건!$E$18</f>
        <v>X</v>
      </c>
      <c r="E13" s="111" t="str">
        <f>공통졸업요건!$E$34</f>
        <v>X</v>
      </c>
      <c r="F13" s="111" t="str">
        <f>공통졸업요건!$E$44</f>
        <v>X</v>
      </c>
      <c r="G13" s="111" t="str">
        <f>공통졸업요건!$E$57</f>
        <v>X</v>
      </c>
      <c r="H13" s="111" t="str">
        <f>공통졸업요건!$E$69</f>
        <v>X</v>
      </c>
      <c r="I13" s="111" t="str">
        <f>공통졸업요건!$J$78</f>
        <v>X</v>
      </c>
      <c r="J13" s="111" t="str">
        <f>공통졸업요건!$E$87</f>
        <v>X</v>
      </c>
      <c r="K13" s="111" t="str">
        <f>공통졸업요건!$J$96</f>
        <v>X</v>
      </c>
      <c r="L13" s="111" t="str">
        <f>공통졸업요건!$E$105</f>
        <v>X</v>
      </c>
      <c r="M13" s="111" t="str">
        <f>공통졸업요건!$E$113</f>
        <v>X</v>
      </c>
    </row>
    <row r="14" spans="2:13" ht="19.95" customHeight="1"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29" t="s">
        <v>297</v>
      </c>
      <c r="C15" s="107"/>
      <c r="D15" s="107"/>
      <c r="E15" s="107"/>
      <c r="F15" s="107"/>
      <c r="G15" s="107"/>
      <c r="H15" s="107"/>
      <c r="I15" s="107"/>
      <c r="K15" s="107"/>
      <c r="L15" s="107"/>
      <c r="M15" s="107"/>
    </row>
    <row r="16" spans="2:13" ht="40.049999999999997" customHeight="1">
      <c r="B16" s="168" t="s">
        <v>296</v>
      </c>
      <c r="C16" s="102" t="s">
        <v>284</v>
      </c>
      <c r="D16" s="102" t="s">
        <v>285</v>
      </c>
      <c r="E16" s="102" t="s">
        <v>286</v>
      </c>
      <c r="F16" s="102" t="s">
        <v>287</v>
      </c>
      <c r="G16" s="102" t="s">
        <v>288</v>
      </c>
      <c r="H16" s="102" t="s">
        <v>289</v>
      </c>
      <c r="I16" s="102" t="s">
        <v>290</v>
      </c>
      <c r="J16" s="108"/>
    </row>
    <row r="17" spans="2:22" ht="19.95" customHeight="1">
      <c r="B17" s="168">
        <v>15</v>
      </c>
      <c r="C17" s="113" t="str">
        <f>전공별졸업요건!$E$5</f>
        <v>X</v>
      </c>
      <c r="D17" s="113" t="str">
        <f>전공별졸업요건!$E$15</f>
        <v>X</v>
      </c>
      <c r="E17" s="113" t="str">
        <f>전공별졸업요건!$E$29</f>
        <v>X</v>
      </c>
      <c r="F17" s="113" t="str">
        <f>전공별졸업요건!$E$43</f>
        <v>X</v>
      </c>
      <c r="G17" s="113" t="str">
        <f>전공별졸업요건!$E$57</f>
        <v>X</v>
      </c>
      <c r="H17" s="113" t="str">
        <f>전공별졸업요건!$E$72</f>
        <v>X</v>
      </c>
      <c r="I17" s="113" t="str">
        <f>전공별졸업요건!$E$88</f>
        <v>X</v>
      </c>
    </row>
    <row r="18" spans="2:22" ht="19.95" hidden="1" customHeight="1">
      <c r="B18" s="110">
        <v>16</v>
      </c>
      <c r="C18" s="113" t="str">
        <f>전공별졸업요건!$E$5</f>
        <v>X</v>
      </c>
      <c r="D18" s="113" t="str">
        <f>전공별졸업요건!$E$15</f>
        <v>X</v>
      </c>
      <c r="E18" s="113" t="str">
        <f>전공별졸업요건!$J$29</f>
        <v>X</v>
      </c>
      <c r="F18" s="113" t="str">
        <f>전공별졸업요건!$E$43</f>
        <v>X</v>
      </c>
      <c r="G18" s="113" t="str">
        <f>전공별졸업요건!$E$57</f>
        <v>X</v>
      </c>
      <c r="H18" s="113" t="str">
        <f>전공별졸업요건!$E$72</f>
        <v>X</v>
      </c>
      <c r="I18" s="113" t="str">
        <f>전공별졸업요건!$E$88</f>
        <v>X</v>
      </c>
    </row>
    <row r="19" spans="2:22" ht="19.95" hidden="1" customHeight="1">
      <c r="B19" s="110">
        <v>17</v>
      </c>
      <c r="C19" s="113" t="str">
        <f>전공별졸업요건!$E$5</f>
        <v>X</v>
      </c>
      <c r="D19" s="113" t="str">
        <f>전공별졸업요건!$E$15</f>
        <v>X</v>
      </c>
      <c r="E19" s="113" t="str">
        <f>전공별졸업요건!$J$29</f>
        <v>X</v>
      </c>
      <c r="F19" s="113" t="str">
        <f>전공별졸업요건!$E$43</f>
        <v>X</v>
      </c>
      <c r="G19" s="113" t="str">
        <f>전공별졸업요건!$E$57</f>
        <v>X</v>
      </c>
      <c r="H19" s="113" t="str">
        <f>전공별졸업요건!$E$72</f>
        <v>X</v>
      </c>
      <c r="I19" s="113" t="str">
        <f>전공별졸업요건!$E$88</f>
        <v>X</v>
      </c>
    </row>
    <row r="20" spans="2:22" s="108" customFormat="1" ht="19.95" hidden="1" customHeight="1">
      <c r="B20" s="110">
        <v>18</v>
      </c>
      <c r="C20" s="113" t="str">
        <f>전공별졸업요건!$J$5</f>
        <v>X</v>
      </c>
      <c r="D20" s="113" t="str">
        <f>전공별졸업요건!$J$15</f>
        <v>X</v>
      </c>
      <c r="E20" s="113" t="str">
        <f>전공별졸업요건!$O$29</f>
        <v>X</v>
      </c>
      <c r="F20" s="113" t="str">
        <f>전공별졸업요건!$J$43</f>
        <v>X</v>
      </c>
      <c r="G20" s="113" t="str">
        <f>전공별졸업요건!$J$57</f>
        <v>X</v>
      </c>
      <c r="H20" s="113" t="str">
        <f>전공별졸업요건!$J$72</f>
        <v>X</v>
      </c>
      <c r="I20" s="113" t="str">
        <f>전공별졸업요건!$J$88</f>
        <v>X</v>
      </c>
      <c r="J20" s="102"/>
    </row>
    <row r="21" spans="2:22" ht="19.95" hidden="1" customHeight="1">
      <c r="B21" s="110">
        <v>19</v>
      </c>
      <c r="C21" s="113" t="str">
        <f>전공별졸업요건!$J$5</f>
        <v>X</v>
      </c>
      <c r="D21" s="113" t="str">
        <f>전공별졸업요건!$J$15</f>
        <v>X</v>
      </c>
      <c r="E21" s="113" t="str">
        <f>전공별졸업요건!$O$29</f>
        <v>X</v>
      </c>
      <c r="F21" s="113" t="str">
        <f>전공별졸업요건!$J$43</f>
        <v>X</v>
      </c>
      <c r="G21" s="113" t="str">
        <f>전공별졸업요건!$J$57</f>
        <v>X</v>
      </c>
      <c r="H21" s="113" t="str">
        <f>전공별졸업요건!$J$72</f>
        <v>X</v>
      </c>
      <c r="I21" s="113" t="str">
        <f>전공별졸업요건!$J$88</f>
        <v>X</v>
      </c>
    </row>
    <row r="22" spans="2:22" ht="17.399999999999999" hidden="1">
      <c r="B22" s="110">
        <v>20</v>
      </c>
      <c r="C22" s="113" t="str">
        <f>전공별졸업요건!$J$5</f>
        <v>X</v>
      </c>
      <c r="D22" s="113" t="str">
        <f>전공별졸업요건!$J$15</f>
        <v>X</v>
      </c>
      <c r="E22" s="113" t="str">
        <f>전공별졸업요건!$O$29</f>
        <v>X</v>
      </c>
      <c r="F22" s="113" t="str">
        <f>전공별졸업요건!$J$43</f>
        <v>X</v>
      </c>
      <c r="G22" s="113" t="str">
        <f>전공별졸업요건!$J$57</f>
        <v>X</v>
      </c>
      <c r="H22" s="113" t="str">
        <f>전공별졸업요건!$J$72</f>
        <v>X</v>
      </c>
      <c r="I22" s="113" t="str">
        <f>전공별졸업요건!$J$88</f>
        <v>X</v>
      </c>
    </row>
    <row r="23" spans="2:22" ht="17.399999999999999" hidden="1">
      <c r="B23" s="110">
        <v>21</v>
      </c>
      <c r="C23" s="113" t="str">
        <f>전공별졸업요건!$J$5</f>
        <v>X</v>
      </c>
      <c r="D23" s="113" t="str">
        <f>전공별졸업요건!$J$15</f>
        <v>X</v>
      </c>
      <c r="E23" s="113" t="str">
        <f>전공별졸업요건!$O$29</f>
        <v>X</v>
      </c>
      <c r="F23" s="113" t="str">
        <f>전공별졸업요건!$J$43</f>
        <v>X</v>
      </c>
      <c r="G23" s="113" t="str">
        <f>전공별졸업요건!$J$57</f>
        <v>X</v>
      </c>
      <c r="H23" s="113" t="str">
        <f>전공별졸업요건!$J$72</f>
        <v>X</v>
      </c>
      <c r="I23" s="113" t="str">
        <f>전공별졸업요건!$J$88</f>
        <v>X</v>
      </c>
    </row>
    <row r="24" spans="2:22" ht="19.95" customHeight="1"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29" t="s">
        <v>298</v>
      </c>
    </row>
    <row r="26" spans="2:22" ht="40.049999999999997" customHeight="1">
      <c r="B26" s="168" t="s">
        <v>296</v>
      </c>
      <c r="C26" s="102" t="s">
        <v>284</v>
      </c>
      <c r="D26" s="102" t="s">
        <v>285</v>
      </c>
      <c r="E26" s="102" t="s">
        <v>286</v>
      </c>
      <c r="F26" s="102" t="s">
        <v>287</v>
      </c>
      <c r="G26" s="102" t="s">
        <v>288</v>
      </c>
      <c r="H26" s="102" t="s">
        <v>289</v>
      </c>
      <c r="I26" s="102" t="s">
        <v>290</v>
      </c>
      <c r="J26" s="108"/>
    </row>
    <row r="27" spans="2:22" ht="19.95" customHeight="1">
      <c r="B27" s="168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5" spans="2:11" ht="40.049999999999997" customHeight="1">
      <c r="B35" s="170" t="s">
        <v>299</v>
      </c>
      <c r="C35" s="102" t="s">
        <v>284</v>
      </c>
      <c r="D35" s="102" t="s">
        <v>285</v>
      </c>
      <c r="E35" s="102" t="s">
        <v>286</v>
      </c>
      <c r="F35" s="102" t="s">
        <v>287</v>
      </c>
      <c r="G35" s="102" t="s">
        <v>288</v>
      </c>
      <c r="H35" s="102" t="s">
        <v>289</v>
      </c>
      <c r="I35" s="102" t="s">
        <v>290</v>
      </c>
      <c r="J35" s="103"/>
      <c r="K35" s="105"/>
    </row>
    <row r="36" spans="2:11" ht="19.95" customHeight="1">
      <c r="B36" s="172" t="s">
        <v>275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72" t="s">
        <v>273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72" t="s">
        <v>292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72" t="s">
        <v>274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72" t="s">
        <v>291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19" t="s">
        <v>271</v>
      </c>
      <c r="C41" s="115">
        <f>VLOOKUP($B$3,$B$27:$I$33,2,0)</f>
        <v>0</v>
      </c>
      <c r="D41" s="115">
        <f>VLOOKUP($B$3,$B$27:$I$33,3,0)</f>
        <v>0</v>
      </c>
      <c r="E41" s="115">
        <f>VLOOKUP($B$3,$B$27:$I$33,4,0)</f>
        <v>0</v>
      </c>
      <c r="F41" s="115">
        <f>VLOOKUP($B$3,$B$27:$I$33,5,0)</f>
        <v>0</v>
      </c>
      <c r="G41" s="115">
        <f>VLOOKUP($B$3,$B$27:$I$33,6,0)</f>
        <v>0</v>
      </c>
      <c r="H41" s="115">
        <f>VLOOKUP($B$3,$B$27:$I$33,7,0)</f>
        <v>0</v>
      </c>
      <c r="I41" s="120">
        <f>VLOOKUP($B$3,$B$27:$I$33,8,0)</f>
        <v>0</v>
      </c>
      <c r="J41" s="107"/>
      <c r="K41" s="106"/>
    </row>
    <row r="42" spans="2:11" ht="19.95" customHeight="1">
      <c r="B42" s="121" t="s">
        <v>272</v>
      </c>
      <c r="C42" s="116">
        <f>공통졸업요건!$E$64</f>
        <v>0</v>
      </c>
      <c r="D42" s="116">
        <f>공통졸업요건!$E$64</f>
        <v>0</v>
      </c>
      <c r="E42" s="116">
        <f>공통졸업요건!$E$64</f>
        <v>0</v>
      </c>
      <c r="F42" s="116">
        <f>공통졸업요건!$E$64</f>
        <v>0</v>
      </c>
      <c r="G42" s="116">
        <f>공통졸업요건!$E$64</f>
        <v>0</v>
      </c>
      <c r="H42" s="116">
        <f>공통졸업요건!$E$64</f>
        <v>0</v>
      </c>
      <c r="I42" s="122">
        <f>공통졸업요건!$E$64</f>
        <v>0</v>
      </c>
      <c r="J42" s="107"/>
      <c r="K42" s="106"/>
    </row>
    <row r="43" spans="2:11" ht="19.95" customHeight="1">
      <c r="B43" s="123" t="s">
        <v>294</v>
      </c>
      <c r="C43" s="117">
        <f t="shared" ref="C43:I43" ca="1" si="2">C44-C41-C42</f>
        <v>0</v>
      </c>
      <c r="D43" s="117">
        <f t="shared" ca="1" si="2"/>
        <v>0</v>
      </c>
      <c r="E43" s="117">
        <f t="shared" ca="1" si="2"/>
        <v>0</v>
      </c>
      <c r="F43" s="117">
        <f t="shared" ca="1" si="2"/>
        <v>0</v>
      </c>
      <c r="G43" s="117">
        <f t="shared" ca="1" si="2"/>
        <v>0</v>
      </c>
      <c r="H43" s="117">
        <f t="shared" ca="1" si="2"/>
        <v>0</v>
      </c>
      <c r="I43" s="124">
        <f t="shared" ca="1" si="2"/>
        <v>0</v>
      </c>
      <c r="J43" s="107"/>
      <c r="K43" s="106"/>
    </row>
    <row r="44" spans="2:11" ht="19.95" customHeight="1">
      <c r="B44" s="125" t="s">
        <v>276</v>
      </c>
      <c r="C44" s="118">
        <f t="shared" ref="C44:I44" ca="1" si="3">C36-C38-C40</f>
        <v>0</v>
      </c>
      <c r="D44" s="118">
        <f t="shared" ca="1" si="3"/>
        <v>0</v>
      </c>
      <c r="E44" s="118">
        <f t="shared" ca="1" si="3"/>
        <v>0</v>
      </c>
      <c r="F44" s="118">
        <f t="shared" ca="1" si="3"/>
        <v>0</v>
      </c>
      <c r="G44" s="118">
        <f t="shared" ca="1" si="3"/>
        <v>0</v>
      </c>
      <c r="H44" s="118">
        <f t="shared" ca="1" si="3"/>
        <v>0</v>
      </c>
      <c r="I44" s="126">
        <f t="shared" ca="1" si="3"/>
        <v>0</v>
      </c>
    </row>
  </sheetData>
  <mergeCells count="1">
    <mergeCell ref="G2:K3"/>
  </mergeCells>
  <phoneticPr fontId="1" type="noConversion"/>
  <conditionalFormatting sqref="C7:M13">
    <cfRule type="cellIs" dxfId="5" priority="14" operator="notEqual">
      <formula>"X"</formula>
    </cfRule>
  </conditionalFormatting>
  <conditionalFormatting sqref="C17:I23">
    <cfRule type="cellIs" dxfId="4" priority="13" operator="notEqual">
      <formula>"X"</formula>
    </cfRule>
  </conditionalFormatting>
  <conditionalFormatting sqref="C27:I29">
    <cfRule type="cellIs" dxfId="3" priority="12" operator="greaterThan">
      <formula>36</formula>
    </cfRule>
  </conditionalFormatting>
  <conditionalFormatting sqref="C27:I29 D30:D33">
    <cfRule type="cellIs" dxfId="2" priority="2" operator="greaterThanOrEqual">
      <formula>30</formula>
    </cfRule>
  </conditionalFormatting>
  <conditionalFormatting sqref="C30:C33 E30:I33">
    <cfRule type="cellIs" dxfId="1" priority="11" operator="greaterThan">
      <formula>42</formula>
    </cfRule>
    <cfRule type="cellIs" dxfId="0" priority="1" operator="greaterThanOrEqual">
      <formula>36</formula>
    </cfRule>
  </conditionalFormatting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55" t="s">
        <v>0</v>
      </c>
      <c r="C2" s="155"/>
      <c r="D2" s="155"/>
      <c r="E2" s="155"/>
    </row>
    <row r="3" spans="2:9" ht="19.95" customHeight="1">
      <c r="B3" s="156" t="s">
        <v>1</v>
      </c>
      <c r="C3" s="156"/>
      <c r="D3" s="156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IF(SUMIF(전체개설과목정보!$AR$6:$AR$1000,"미적분학*",전체개설과목정보!$AV$6:$AV$1000)&gt;0,"O","X")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IF(SUMIF(전체개설과목정보!$AR$6:$AR$1000,"고급*"&amp;"*미적분학*",전체개설과목정보!$AV$6:$AV$1000)&gt;0,"O","X")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IF(SUMIF(전체개설과목정보!$AR$6:$AR$1000,"다변수해석학*",전체개설과목정보!$AV$6:$AV$1000)&gt;0,"O","X")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IF(SUMIF(전체개설과목정보!$AR$6:$AR$1000,"미분방정식*",전체개설과목정보!$AV$6:$AV$1000)&gt;0,"O","X")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IF(SUMIF(전체개설과목정보!$AR$6:$AR$1000,"선형대수학*",전체개설과목정보!$AV$6:$AV$1000)&gt;0,"O","X")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IF(SUMIF(전체개설과목정보!$AR$6:$AR$1000,"*미분방정식*"&amp;"*선형대수학*",전체개설과목정보!$AV$6:$AV$1000)&gt;0,"O","X")</f>
        <v>X</v>
      </c>
    </row>
    <row r="14" spans="2:9" ht="19.95" customHeight="1" thickTop="1"/>
    <row r="15" spans="2:9" ht="19.95" customHeight="1">
      <c r="B15" s="155" t="s">
        <v>27</v>
      </c>
      <c r="C15" s="155"/>
      <c r="D15" s="155"/>
      <c r="E15" s="155"/>
    </row>
    <row r="16" spans="2:9" ht="19.95" customHeight="1">
      <c r="B16" s="156" t="s">
        <v>1</v>
      </c>
      <c r="C16" s="156"/>
      <c r="D16" s="156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94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IF(SUMIF(전체개설과목정보!$AR$6:$AR$1000,"*일반물리학 및 연습 I",전체개설과목정보!$AV$6:$AV$1000)&gt;0,"O","X")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IF(SUMIF(전체개설과목정보!$AR$6:$AR$1000,"일반물리학*"&amp;"*실험*"&amp;"*Ⅰ",전체개설과목정보!$AV$6:$AV$1000)+SUMIF(전체개설과목정보!$AR$6:$AR$1000,"일반물리학*"&amp;"*실험*"&amp;"*I",전체개설과목정보!$AV$6:$AV$1000)&gt;0,"O","X")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IF(SUMIF(전체개설과목정보!$AR$6:$AR$1000,"*일반화학 및 연습 I",전체개설과목정보!$AV$6:$AV$1000)&gt;0,"O","X")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IF(SUMIF(전체개설과목정보!$AR$6:$AR$1000,"일반화학*"&amp;"*실험*"&amp;"*Ⅰ",전체개설과목정보!$AV$6:$AV$1000)+SUMIF(전체개설과목정보!$AR$6:$AR$1000,"일반화학*"&amp;"*실험*"&amp;"*I",전체개설과목정보!$AV$6:$AV$1000)&gt;0,"O","X")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IF(SUMIF(전체개설과목정보!$AR$6:$AR$1000,"생물학*",전체개설과목정보!$AV$6:$AV$1000)+SUMIF(전체개설과목정보!$AR$6:$AR$1000,"인간 생물학*",전체개설과목정보!$AV$6:$AV$1000)+SUMIF(전체개설과목정보!$AR$6:$AR$1000,"고급일반생물학*",전체개설과목정보!$AV$6:$AV$1000)&gt;0,"O","X")</f>
        <v>X</v>
      </c>
    </row>
    <row r="27" spans="2:5" ht="19.95" customHeight="1" thickBot="1">
      <c r="B27" s="20" t="s">
        <v>41</v>
      </c>
      <c r="C27" s="21" t="s">
        <v>42</v>
      </c>
      <c r="D27" s="22"/>
      <c r="E27" s="19" t="str">
        <f>IF(SUMIF(전체개설과목정보!$AR$6:$AR$1000,"일반생물학*"&amp;"*실험*"&amp;"*Ⅰ",전체개설과목정보!$AV$6:$AV$1000)+SUMIF(전체개설과목정보!$AR$6:$AR$1000,"일반생물학*"&amp;"*실험*"&amp;"*I",전체개설과목정보!$AV$6:$AV$1000)&gt;0,"O","X")</f>
        <v>X</v>
      </c>
    </row>
    <row r="28" spans="2:5" ht="19.95" customHeight="1" thickTop="1" thickBot="1">
      <c r="B28" s="13" t="s">
        <v>43</v>
      </c>
      <c r="C28" s="14" t="s">
        <v>44</v>
      </c>
      <c r="D28" s="15" t="s">
        <v>45</v>
      </c>
      <c r="E28" s="33" t="str">
        <f>IF(COUNTIF(E29,"O")&gt;=1,"O","X")</f>
        <v>X</v>
      </c>
    </row>
    <row r="29" spans="2:5" ht="19.95" customHeight="1" thickBot="1">
      <c r="B29" s="9" t="s">
        <v>46</v>
      </c>
      <c r="C29" s="10" t="s">
        <v>47</v>
      </c>
      <c r="D29" s="35"/>
      <c r="E29" s="57" t="str">
        <f>IF(SUMIF(전체개설과목정보!$AR$6:$AR$1000,"컴퓨터 프로그래밍",전체개설과목정보!$AV$6:$AV$1000)&gt;0,"O","X")</f>
        <v>X</v>
      </c>
    </row>
    <row r="30" spans="2:5" ht="19.95" customHeight="1" thickTop="1"/>
    <row r="31" spans="2:5" ht="19.95" customHeight="1">
      <c r="B31" s="157" t="s">
        <v>48</v>
      </c>
      <c r="C31" s="157"/>
      <c r="D31" s="157"/>
      <c r="E31" s="157"/>
    </row>
    <row r="32" spans="2:5" ht="19.95" customHeight="1">
      <c r="B32" s="158" t="s">
        <v>1</v>
      </c>
      <c r="C32" s="158"/>
      <c r="D32" s="158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49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50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51</v>
      </c>
      <c r="D36" s="18"/>
      <c r="E36" s="19" t="str">
        <f>IF(SUMIF(전체개설과목정보!$AR$6:$AR$1000,"*신입생 영어",전체개설과목정보!$AV$6:$AV$1000)&gt;0,"O","X")</f>
        <v>X</v>
      </c>
    </row>
    <row r="37" spans="2:5" ht="19.95" customHeight="1" thickBot="1">
      <c r="B37" s="20" t="s">
        <v>14</v>
      </c>
      <c r="C37" s="21" t="s">
        <v>52</v>
      </c>
      <c r="D37" s="22"/>
      <c r="E37" s="23" t="str">
        <f>IF(SUMIF(전체개설과목정보!$AR$6:$AR$1000,"*발표와 토론",전체개설과목정보!$AV$6:$AV$1000)&gt;0,"O","X")</f>
        <v>X</v>
      </c>
    </row>
    <row r="38" spans="2:5" ht="19.95" customHeight="1" thickTop="1" thickBot="1">
      <c r="B38" s="24" t="s">
        <v>16</v>
      </c>
      <c r="C38" s="25" t="s">
        <v>53</v>
      </c>
      <c r="D38" s="15" t="s">
        <v>45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54</v>
      </c>
      <c r="D39" s="22"/>
      <c r="E39" s="57" t="str">
        <f>IF(SUMIF(전체개설과목정보!$AR$6:$AR$1000,"*이공계 글쓰기 입문",전체개설과목정보!$AV$6:$AV$1000)&gt;0,"O","X")</f>
        <v>X</v>
      </c>
    </row>
    <row r="40" spans="2:5" ht="19.95" customHeight="1" thickTop="1"/>
    <row r="41" spans="2:5" ht="19.95" customHeight="1">
      <c r="B41" s="157" t="s">
        <v>55</v>
      </c>
      <c r="C41" s="157"/>
      <c r="D41" s="157"/>
      <c r="E41" s="157"/>
    </row>
    <row r="42" spans="2:5" ht="19.95" customHeight="1">
      <c r="B42" s="158" t="s">
        <v>1</v>
      </c>
      <c r="C42" s="158"/>
      <c r="D42" s="158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56</v>
      </c>
      <c r="D44" s="11" t="s">
        <v>57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58</v>
      </c>
      <c r="D45" s="15" t="s">
        <v>59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60</v>
      </c>
      <c r="D46" s="159" t="s">
        <v>61</v>
      </c>
      <c r="E46" s="47" t="str">
        <f>IF(SUMIF(전체개설과목정보!$AR$6:$AR$1000,"*논리적 글쓰기",전체개설과목정보!$AV$6:$AV$1000)&gt;0,"O","X")</f>
        <v>X</v>
      </c>
    </row>
    <row r="47" spans="2:5" ht="19.95" customHeight="1">
      <c r="B47" s="28" t="s">
        <v>14</v>
      </c>
      <c r="C47" s="29" t="s">
        <v>62</v>
      </c>
      <c r="D47" s="160"/>
      <c r="E47" s="70" t="str">
        <f>IF(SUMIF(전체개설과목정보!$AR$6:$AR$1000,"*학술적 글쓰기",전체개설과목정보!$AV$6:$AV$1000)&gt;0,"O","X")</f>
        <v>X</v>
      </c>
    </row>
    <row r="48" spans="2:5" ht="19.95" customHeight="1">
      <c r="B48" s="28" t="s">
        <v>63</v>
      </c>
      <c r="C48" s="29" t="s">
        <v>64</v>
      </c>
      <c r="D48" s="161"/>
      <c r="E48" s="19" t="str">
        <f>IF(SUMIF(전체개설과목정보!$AR$6:$AR$1000,"*창의적 글쓰기",전체개설과목정보!$AV$6:$AV$1000)&gt;0,"O","X")</f>
        <v>X</v>
      </c>
    </row>
    <row r="49" spans="2:5" ht="19.95" customHeight="1">
      <c r="B49" s="28" t="s">
        <v>65</v>
      </c>
      <c r="C49" s="29" t="s">
        <v>66</v>
      </c>
      <c r="D49" s="162" t="s">
        <v>67</v>
      </c>
      <c r="E49" s="19" t="str">
        <f>IF(SUMIF(전체개설과목정보!$AR$6:$AR$1000,"*과학 글쓰기",전체개설과목정보!$AV$6:$AV$1000)&gt;0,"O","X")</f>
        <v>X</v>
      </c>
    </row>
    <row r="50" spans="2:5" ht="19.95" customHeight="1">
      <c r="B50" s="28" t="s">
        <v>68</v>
      </c>
      <c r="C50" s="29" t="s">
        <v>69</v>
      </c>
      <c r="D50" s="160"/>
      <c r="E50" s="19" t="str">
        <f>IF(SUMIF(전체개설과목정보!$AR$6:$AR$1000,"*고전 읽기와 글쓰기",전체개설과목정보!$AV$6:$AV$1000)&gt;0,"O","X")</f>
        <v>X</v>
      </c>
    </row>
    <row r="51" spans="2:5" ht="19.95" customHeight="1">
      <c r="B51" s="28" t="s">
        <v>70</v>
      </c>
      <c r="C51" s="29" t="s">
        <v>71</v>
      </c>
      <c r="D51" s="160"/>
      <c r="E51" s="19" t="str">
        <f>IF(SUMIF(전체개설과목정보!$AR$6:$AR$1000,"*비평적 글쓰기",전체개설과목정보!$AV$6:$AV$1000)&gt;0,"O","X")</f>
        <v>X</v>
      </c>
    </row>
    <row r="52" spans="2:5" ht="19.95" customHeight="1" thickBot="1">
      <c r="B52" s="20" t="s">
        <v>72</v>
      </c>
      <c r="C52" s="21" t="s">
        <v>73</v>
      </c>
      <c r="D52" s="163"/>
      <c r="E52" s="23" t="str">
        <f>IF(SUMIF(전체개설과목정보!$AR$6:$AR$1000,"*디지털 스토리텔링",전체개설과목정보!$AV$6:$AV$1000)&gt;0,"O","X")</f>
        <v>X</v>
      </c>
    </row>
    <row r="53" spans="2:5" ht="19.95" customHeight="1" thickTop="1"/>
    <row r="54" spans="2:5" ht="19.95" customHeight="1">
      <c r="B54" s="164" t="s">
        <v>74</v>
      </c>
      <c r="C54" s="153"/>
      <c r="D54" s="154"/>
      <c r="E54" s="165"/>
    </row>
    <row r="55" spans="2:5" ht="19.95" customHeight="1">
      <c r="B55" s="152" t="s">
        <v>75</v>
      </c>
      <c r="C55" s="153"/>
      <c r="D55" s="154"/>
      <c r="E55" s="42" t="s">
        <v>76</v>
      </c>
    </row>
    <row r="56" spans="2:5" ht="40.049999999999997" customHeight="1">
      <c r="B56" s="39" t="s">
        <v>77</v>
      </c>
      <c r="C56" s="40" t="s">
        <v>78</v>
      </c>
      <c r="D56" s="40" t="s">
        <v>79</v>
      </c>
      <c r="E56" s="41" t="s">
        <v>6</v>
      </c>
    </row>
    <row r="57" spans="2:5" ht="19.95" customHeight="1" thickBot="1">
      <c r="B57" s="9" t="s">
        <v>80</v>
      </c>
      <c r="C57" s="10" t="s">
        <v>90</v>
      </c>
      <c r="D57" s="11" t="s">
        <v>95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81</v>
      </c>
      <c r="D58" s="15" t="s">
        <v>91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85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82</v>
      </c>
      <c r="C60" s="14" t="s">
        <v>83</v>
      </c>
      <c r="D60" s="15" t="s">
        <v>92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86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84</v>
      </c>
      <c r="C62" s="14" t="s">
        <v>87</v>
      </c>
      <c r="D62" s="43" t="s">
        <v>93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88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89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50" t="s">
        <v>96</v>
      </c>
      <c r="C66" s="150"/>
      <c r="D66" s="150"/>
      <c r="E66" s="150"/>
      <c r="F66" s="49"/>
      <c r="G66" s="49"/>
      <c r="H66" s="49"/>
      <c r="I66" s="49"/>
      <c r="J66" s="49"/>
    </row>
    <row r="67" spans="2:10" ht="19.95" customHeight="1">
      <c r="B67" s="151" t="s">
        <v>1</v>
      </c>
      <c r="C67" s="151"/>
      <c r="D67" s="151"/>
      <c r="E67" s="50" t="s">
        <v>97</v>
      </c>
      <c r="F67" s="49"/>
      <c r="G67" s="49"/>
      <c r="H67" s="49"/>
      <c r="I67" s="49"/>
      <c r="J67" s="49"/>
    </row>
    <row r="68" spans="2:10" ht="40.049999999999997" customHeight="1">
      <c r="B68" s="58" t="s">
        <v>77</v>
      </c>
      <c r="C68" s="59" t="s">
        <v>78</v>
      </c>
      <c r="D68" s="59" t="s">
        <v>79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80</v>
      </c>
      <c r="C69" s="10" t="s">
        <v>98</v>
      </c>
      <c r="D69" s="11" t="s">
        <v>99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100</v>
      </c>
      <c r="D70" s="15" t="s">
        <v>101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102</v>
      </c>
      <c r="D71" s="56"/>
      <c r="E71" s="23" t="str">
        <f>IF(SUMIF(전체개설과목정보!$AR$6:$AR$1000,"소프트웨어 기초와 코딩",전체개설과목정보!$AV$6:$AV$1000)&gt;0,"O","X")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103</v>
      </c>
      <c r="D72" s="26" t="s">
        <v>104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47</v>
      </c>
      <c r="D73" s="56"/>
      <c r="E73" s="23" t="str">
        <f>IF(SUMIF(전체개설과목정보!$AR$6:$AR$1000,"컴퓨터 프로그래밍",전체개설과목정보!$AV$6:$AV$1000)&gt;0,"O","X")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37" t="s">
        <v>105</v>
      </c>
      <c r="C75" s="137"/>
      <c r="D75" s="137"/>
      <c r="E75" s="137"/>
      <c r="F75" s="49"/>
      <c r="G75" s="137" t="s">
        <v>105</v>
      </c>
      <c r="H75" s="137"/>
      <c r="I75" s="137"/>
      <c r="J75" s="137"/>
    </row>
    <row r="76" spans="2:10" ht="19.95" customHeight="1">
      <c r="B76" s="141" t="s">
        <v>1</v>
      </c>
      <c r="C76" s="141"/>
      <c r="D76" s="141"/>
      <c r="E76" s="50" t="s">
        <v>106</v>
      </c>
      <c r="F76" s="49"/>
      <c r="G76" s="141" t="s">
        <v>1</v>
      </c>
      <c r="H76" s="141"/>
      <c r="I76" s="141"/>
      <c r="J76" s="50" t="s">
        <v>107</v>
      </c>
    </row>
    <row r="77" spans="2:10" ht="40.049999999999997" customHeight="1">
      <c r="B77" s="51" t="s">
        <v>77</v>
      </c>
      <c r="C77" s="52" t="s">
        <v>78</v>
      </c>
      <c r="D77" s="52" t="s">
        <v>79</v>
      </c>
      <c r="E77" s="53" t="s">
        <v>6</v>
      </c>
      <c r="F77" s="49"/>
      <c r="G77" s="51" t="s">
        <v>77</v>
      </c>
      <c r="H77" s="52" t="s">
        <v>78</v>
      </c>
      <c r="I77" s="52" t="s">
        <v>79</v>
      </c>
      <c r="J77" s="53" t="s">
        <v>6</v>
      </c>
    </row>
    <row r="78" spans="2:10" ht="19.95" customHeight="1" thickBot="1">
      <c r="B78" s="9" t="s">
        <v>80</v>
      </c>
      <c r="C78" s="10" t="s">
        <v>108</v>
      </c>
      <c r="D78" s="11" t="s">
        <v>109</v>
      </c>
      <c r="E78" s="12" t="str">
        <f>IF(OR(E79="O"),"O","X")</f>
        <v>X</v>
      </c>
      <c r="F78" s="49"/>
      <c r="G78" s="9" t="s">
        <v>80</v>
      </c>
      <c r="H78" s="10" t="s">
        <v>108</v>
      </c>
      <c r="I78" s="11" t="s">
        <v>110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111</v>
      </c>
      <c r="D79" s="15" t="s">
        <v>101</v>
      </c>
      <c r="E79" s="33" t="str">
        <f>IF(E80="O","O","X")</f>
        <v>X</v>
      </c>
      <c r="F79" s="49"/>
      <c r="G79" s="13">
        <v>1</v>
      </c>
      <c r="H79" s="14" t="s">
        <v>111</v>
      </c>
      <c r="I79" s="15" t="s">
        <v>101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112</v>
      </c>
      <c r="D80" s="56"/>
      <c r="E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  <c r="F80" s="49"/>
      <c r="G80" s="54" t="s">
        <v>12</v>
      </c>
      <c r="H80" s="55" t="s">
        <v>112</v>
      </c>
      <c r="I80" s="56"/>
      <c r="J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113</v>
      </c>
      <c r="I81" s="15" t="s">
        <v>101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114</v>
      </c>
      <c r="I82" s="56"/>
      <c r="J82" s="23" t="str">
        <f>IF(SUMIF(전체개설과목정보!$FX$6:$FX$1000,"*전공탐색*",전체개설과목정보!$GB$6:$GB$1000)&gt;0,"O","X")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48" t="s">
        <v>122</v>
      </c>
      <c r="C84" s="148"/>
      <c r="D84" s="148"/>
      <c r="E84" s="148"/>
      <c r="F84" s="49"/>
      <c r="G84" s="148" t="s">
        <v>122</v>
      </c>
      <c r="H84" s="148"/>
      <c r="I84" s="148"/>
      <c r="J84" s="148"/>
    </row>
    <row r="85" spans="2:10" ht="19.95" customHeight="1">
      <c r="B85" s="149" t="s">
        <v>1</v>
      </c>
      <c r="C85" s="149"/>
      <c r="D85" s="149"/>
      <c r="E85" s="50" t="s">
        <v>115</v>
      </c>
      <c r="F85" s="49"/>
      <c r="G85" s="149" t="s">
        <v>1</v>
      </c>
      <c r="H85" s="149"/>
      <c r="I85" s="149"/>
      <c r="J85" s="50" t="s">
        <v>116</v>
      </c>
    </row>
    <row r="86" spans="2:10" ht="40.049999999999997" customHeight="1">
      <c r="B86" s="61" t="s">
        <v>77</v>
      </c>
      <c r="C86" s="62" t="s">
        <v>78</v>
      </c>
      <c r="D86" s="62" t="s">
        <v>79</v>
      </c>
      <c r="E86" s="63" t="s">
        <v>6</v>
      </c>
      <c r="F86" s="49"/>
      <c r="G86" s="61" t="s">
        <v>77</v>
      </c>
      <c r="H86" s="62" t="s">
        <v>78</v>
      </c>
      <c r="I86" s="62" t="s">
        <v>79</v>
      </c>
      <c r="J86" s="63" t="s">
        <v>6</v>
      </c>
    </row>
    <row r="87" spans="2:10" ht="19.95" customHeight="1" thickBot="1">
      <c r="B87" s="9" t="s">
        <v>80</v>
      </c>
      <c r="C87" s="10" t="s">
        <v>117</v>
      </c>
      <c r="D87" s="11" t="s">
        <v>110</v>
      </c>
      <c r="E87" s="12" t="str">
        <f>IF(AND(E88="O",E90="O"),"O","X")</f>
        <v>X</v>
      </c>
      <c r="F87" s="49"/>
      <c r="G87" s="9" t="s">
        <v>80</v>
      </c>
      <c r="H87" s="10" t="s">
        <v>117</v>
      </c>
      <c r="I87" s="11" t="s">
        <v>110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118</v>
      </c>
      <c r="D88" s="15" t="s">
        <v>124</v>
      </c>
      <c r="E88" s="33" t="str">
        <f>IF(E89&gt;=4,"O","X")</f>
        <v>X</v>
      </c>
      <c r="F88" s="49"/>
      <c r="G88" s="13">
        <v>1</v>
      </c>
      <c r="H88" s="14" t="s">
        <v>118</v>
      </c>
      <c r="I88" s="15" t="s">
        <v>145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119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119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120</v>
      </c>
      <c r="D90" s="15" t="s">
        <v>123</v>
      </c>
      <c r="E90" s="33" t="str">
        <f>IF(E91&gt;=4,"O","X")</f>
        <v>X</v>
      </c>
      <c r="F90" s="49"/>
      <c r="G90" s="13" t="s">
        <v>16</v>
      </c>
      <c r="H90" s="14" t="s">
        <v>120</v>
      </c>
      <c r="I90" s="15" t="s">
        <v>125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121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121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45" t="s">
        <v>144</v>
      </c>
      <c r="C93" s="145"/>
      <c r="D93" s="145"/>
      <c r="E93" s="145"/>
      <c r="G93" s="145" t="s">
        <v>144</v>
      </c>
      <c r="H93" s="145"/>
      <c r="I93" s="145"/>
      <c r="J93" s="145"/>
    </row>
    <row r="94" spans="2:10" ht="19.95" customHeight="1">
      <c r="B94" s="144" t="s">
        <v>126</v>
      </c>
      <c r="C94" s="144"/>
      <c r="D94" s="144"/>
      <c r="E94" s="5" t="s">
        <v>143</v>
      </c>
      <c r="G94" s="144" t="s">
        <v>126</v>
      </c>
      <c r="H94" s="144"/>
      <c r="I94" s="144"/>
      <c r="J94" s="64" t="s">
        <v>142</v>
      </c>
    </row>
    <row r="95" spans="2:10" ht="40.049999999999997" customHeight="1">
      <c r="B95" s="67" t="s">
        <v>127</v>
      </c>
      <c r="C95" s="65" t="s">
        <v>78</v>
      </c>
      <c r="D95" s="65" t="s">
        <v>79</v>
      </c>
      <c r="E95" s="66" t="s">
        <v>6</v>
      </c>
      <c r="G95" s="67" t="s">
        <v>127</v>
      </c>
      <c r="H95" s="65" t="s">
        <v>78</v>
      </c>
      <c r="I95" s="65" t="s">
        <v>79</v>
      </c>
      <c r="J95" s="66" t="s">
        <v>6</v>
      </c>
    </row>
    <row r="96" spans="2:10" ht="19.95" customHeight="1" thickBot="1">
      <c r="B96" s="9" t="s">
        <v>128</v>
      </c>
      <c r="C96" s="10" t="s">
        <v>129</v>
      </c>
      <c r="D96" s="35" t="s">
        <v>130</v>
      </c>
      <c r="E96" s="12" t="str">
        <f>IF(AND(E97="O"),"O","X")</f>
        <v>X</v>
      </c>
      <c r="G96" s="9" t="s">
        <v>128</v>
      </c>
      <c r="H96" s="10" t="s">
        <v>129</v>
      </c>
      <c r="I96" s="35" t="s">
        <v>136</v>
      </c>
      <c r="J96" s="12" t="str">
        <f>IF(AND(J97="O",J99="O"),"O","X")</f>
        <v>X</v>
      </c>
    </row>
    <row r="97" spans="2:10" ht="19.95" customHeight="1" thickTop="1" thickBot="1">
      <c r="B97" s="13" t="s">
        <v>131</v>
      </c>
      <c r="C97" s="14" t="s">
        <v>132</v>
      </c>
      <c r="D97" s="68" t="s">
        <v>135</v>
      </c>
      <c r="E97" s="33" t="str">
        <f>IF(E98=2,"O","X")</f>
        <v>X</v>
      </c>
      <c r="G97" s="13" t="s">
        <v>131</v>
      </c>
      <c r="H97" s="14" t="s">
        <v>132</v>
      </c>
      <c r="I97" s="68" t="s">
        <v>135</v>
      </c>
      <c r="J97" s="33" t="str">
        <f>IF(J98=2,"O","X")</f>
        <v>X</v>
      </c>
    </row>
    <row r="98" spans="2:10" ht="19.95" customHeight="1" thickBot="1">
      <c r="B98" s="9" t="s">
        <v>133</v>
      </c>
      <c r="C98" s="10" t="s">
        <v>134</v>
      </c>
      <c r="D98" s="35"/>
      <c r="E98" s="23">
        <f>SUMIF(전체개설과목정보!$FX$6:$FX$1000,"*콜로퀴움*",전체개설과목정보!$GB$6:$GB$1000)</f>
        <v>0</v>
      </c>
      <c r="G98" s="9" t="s">
        <v>133</v>
      </c>
      <c r="H98" s="10" t="s">
        <v>134</v>
      </c>
      <c r="I98" s="35"/>
      <c r="J98" s="23">
        <f>SUMIF(전체개설과목정보!$FX$6:$FX$1000,"*콜로퀴움*",전체개설과목정보!$GB$6:$GB$1000)</f>
        <v>0</v>
      </c>
    </row>
    <row r="99" spans="2:10" ht="19.95" customHeight="1" thickTop="1" thickBot="1">
      <c r="G99" s="13" t="s">
        <v>137</v>
      </c>
      <c r="H99" s="14" t="s">
        <v>139</v>
      </c>
      <c r="I99" s="68" t="s">
        <v>141</v>
      </c>
      <c r="J99" s="33" t="str">
        <f>IF(J100&lt;&gt;0,"O","X")</f>
        <v>X</v>
      </c>
    </row>
    <row r="100" spans="2:10" ht="19.95" customHeight="1" thickBot="1">
      <c r="G100" s="9" t="s">
        <v>138</v>
      </c>
      <c r="H100" s="10" t="s">
        <v>140</v>
      </c>
      <c r="I100" s="35"/>
      <c r="J100" s="23">
        <f>SUMIF(전체개설과목정보!$FX$6:$FX$1000,"과학기술과 경제",전체개설과목정보!$GB$6:$GB$1000)</f>
        <v>0</v>
      </c>
    </row>
    <row r="101" spans="2:10" ht="19.95" customHeight="1" thickTop="1"/>
    <row r="102" spans="2:10" ht="19.95" customHeight="1">
      <c r="B102" s="146" t="s">
        <v>256</v>
      </c>
      <c r="C102" s="146"/>
      <c r="D102" s="146"/>
      <c r="E102" s="146"/>
    </row>
    <row r="103" spans="2:10" ht="19.95" customHeight="1">
      <c r="B103" s="147" t="s">
        <v>1</v>
      </c>
      <c r="C103" s="147"/>
      <c r="D103" s="147"/>
      <c r="E103" s="93" t="s">
        <v>2</v>
      </c>
    </row>
    <row r="104" spans="2:10" ht="40.049999999999997" customHeight="1">
      <c r="B104" s="95" t="s">
        <v>3</v>
      </c>
      <c r="C104" s="96" t="s">
        <v>78</v>
      </c>
      <c r="D104" s="96" t="s">
        <v>79</v>
      </c>
      <c r="E104" s="97" t="s">
        <v>6</v>
      </c>
    </row>
    <row r="105" spans="2:10" ht="19.95" customHeight="1" thickBot="1">
      <c r="B105" s="9" t="s">
        <v>7</v>
      </c>
      <c r="C105" s="10" t="s">
        <v>257</v>
      </c>
      <c r="D105" s="35" t="s">
        <v>109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258</v>
      </c>
      <c r="D106" s="68" t="s">
        <v>259</v>
      </c>
      <c r="E106" s="33" t="str">
        <f>IF(AND(E107="O", E108="O"),"O","X")</f>
        <v>X</v>
      </c>
    </row>
    <row r="107" spans="2:10" s="92" customFormat="1" ht="19.95" customHeight="1">
      <c r="B107" s="44" t="s">
        <v>260</v>
      </c>
      <c r="C107" s="45" t="s">
        <v>261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262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37" t="s">
        <v>264</v>
      </c>
      <c r="C110" s="138"/>
      <c r="D110" s="139"/>
      <c r="E110" s="140"/>
    </row>
    <row r="111" spans="2:10">
      <c r="B111" s="141" t="s">
        <v>75</v>
      </c>
      <c r="C111" s="142"/>
      <c r="D111" s="143"/>
      <c r="E111" s="98" t="s">
        <v>2</v>
      </c>
    </row>
    <row r="112" spans="2:10" ht="34.799999999999997">
      <c r="B112" s="99" t="s">
        <v>77</v>
      </c>
      <c r="C112" s="100" t="s">
        <v>78</v>
      </c>
      <c r="D112" s="100" t="s">
        <v>79</v>
      </c>
      <c r="E112" s="101" t="s">
        <v>6</v>
      </c>
    </row>
    <row r="113" spans="2:5" ht="18" thickBot="1">
      <c r="B113" s="9" t="s">
        <v>80</v>
      </c>
      <c r="C113" s="10" t="s">
        <v>265</v>
      </c>
      <c r="D113" s="35" t="s">
        <v>266</v>
      </c>
      <c r="E113" s="12" t="str">
        <f>IF(AND(E114="O"),"O","X")</f>
        <v>X</v>
      </c>
    </row>
    <row r="114" spans="2:5" ht="18.600000000000001" thickTop="1" thickBot="1">
      <c r="B114" s="13" t="s">
        <v>267</v>
      </c>
      <c r="C114" s="14" t="s">
        <v>268</v>
      </c>
      <c r="D114" s="68" t="s">
        <v>269</v>
      </c>
      <c r="E114" s="33" t="str">
        <f>IF(E115&gt;=2,"O","X")</f>
        <v>X</v>
      </c>
    </row>
    <row r="115" spans="2:5" ht="18" thickBot="1">
      <c r="B115" s="9" t="s">
        <v>263</v>
      </c>
      <c r="C115" s="10" t="s">
        <v>268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  <mergeCell ref="B84:E84"/>
    <mergeCell ref="G84:J84"/>
    <mergeCell ref="B85:D85"/>
    <mergeCell ref="G85:I85"/>
    <mergeCell ref="B75:E75"/>
    <mergeCell ref="G75:J75"/>
    <mergeCell ref="B76:D76"/>
    <mergeCell ref="G76:I76"/>
    <mergeCell ref="B110:E110"/>
    <mergeCell ref="B111:D111"/>
    <mergeCell ref="B94:D94"/>
    <mergeCell ref="G93:J93"/>
    <mergeCell ref="G94:I94"/>
    <mergeCell ref="B93:E93"/>
    <mergeCell ref="B102:E102"/>
    <mergeCell ref="B103:D10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50" t="s">
        <v>146</v>
      </c>
      <c r="C2" s="150"/>
      <c r="D2" s="150"/>
      <c r="E2" s="150"/>
      <c r="G2" s="150" t="s">
        <v>146</v>
      </c>
      <c r="H2" s="150"/>
      <c r="I2" s="150"/>
      <c r="J2" s="150"/>
    </row>
    <row r="3" spans="2:10" ht="19.95" customHeight="1">
      <c r="B3" s="151" t="s">
        <v>1</v>
      </c>
      <c r="C3" s="151"/>
      <c r="D3" s="151"/>
      <c r="E3" s="84" t="s">
        <v>152</v>
      </c>
      <c r="G3" s="151" t="s">
        <v>1</v>
      </c>
      <c r="H3" s="151"/>
      <c r="I3" s="151"/>
      <c r="J3" s="84" t="s">
        <v>97</v>
      </c>
    </row>
    <row r="4" spans="2:10" ht="40.049999999999997" customHeight="1">
      <c r="B4" s="58" t="s">
        <v>77</v>
      </c>
      <c r="C4" s="59" t="s">
        <v>78</v>
      </c>
      <c r="D4" s="59" t="s">
        <v>79</v>
      </c>
      <c r="E4" s="60" t="s">
        <v>6</v>
      </c>
      <c r="G4" s="58" t="s">
        <v>77</v>
      </c>
      <c r="H4" s="59" t="s">
        <v>78</v>
      </c>
      <c r="I4" s="59" t="s">
        <v>79</v>
      </c>
      <c r="J4" s="60" t="s">
        <v>6</v>
      </c>
    </row>
    <row r="5" spans="2:10" ht="19.95" customHeight="1" thickBot="1">
      <c r="B5" s="9" t="s">
        <v>80</v>
      </c>
      <c r="C5" s="10" t="s">
        <v>147</v>
      </c>
      <c r="D5" s="11" t="s">
        <v>160</v>
      </c>
      <c r="E5" s="12" t="str">
        <f>IF(AND(E6="O",E9="O"),"O","X")</f>
        <v>X</v>
      </c>
      <c r="G5" s="9" t="s">
        <v>80</v>
      </c>
      <c r="H5" s="10" t="s">
        <v>147</v>
      </c>
      <c r="I5" s="11" t="s">
        <v>160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148</v>
      </c>
      <c r="D6" s="15" t="s">
        <v>175</v>
      </c>
      <c r="E6" s="33" t="str">
        <f>IF(COUNTIF(E7:E8,"O")&gt;0,"O","X")</f>
        <v>X</v>
      </c>
      <c r="G6" s="13">
        <v>1</v>
      </c>
      <c r="H6" s="14" t="s">
        <v>148</v>
      </c>
      <c r="I6" s="15" t="s">
        <v>175</v>
      </c>
      <c r="J6" s="33" t="str">
        <f>IF(COUNTIF(J7:J8,"O")=COUNTA(J7:J8),"O","X")</f>
        <v>X</v>
      </c>
    </row>
    <row r="7" spans="2:10" ht="19.95" customHeight="1">
      <c r="B7" s="44" t="s">
        <v>149</v>
      </c>
      <c r="C7" s="45" t="s">
        <v>150</v>
      </c>
      <c r="D7" s="85"/>
      <c r="E7" s="47" t="str">
        <f>IF(SUMIF(기초및전공과목!$P$6:$P$1000,"전자공학*",기초및전공과목!$R$6:$R$1000)&gt;0,"O","X")</f>
        <v>X</v>
      </c>
      <c r="G7" s="44" t="s">
        <v>149</v>
      </c>
      <c r="H7" s="45" t="s">
        <v>150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151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151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153</v>
      </c>
      <c r="D9" s="26" t="s">
        <v>255</v>
      </c>
      <c r="E9" s="33" t="str">
        <f>IF(E10&gt;=30,"O","X")</f>
        <v>X</v>
      </c>
      <c r="G9" s="24" t="s">
        <v>16</v>
      </c>
      <c r="H9" s="25" t="s">
        <v>153</v>
      </c>
      <c r="I9" s="26" t="s">
        <v>157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154</v>
      </c>
      <c r="D10" s="56" t="s">
        <v>155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154</v>
      </c>
      <c r="I10" s="56" t="s">
        <v>156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50" t="s">
        <v>158</v>
      </c>
      <c r="C12" s="150"/>
      <c r="D12" s="150"/>
      <c r="E12" s="150"/>
      <c r="G12" s="150" t="s">
        <v>158</v>
      </c>
      <c r="H12" s="150"/>
      <c r="I12" s="150"/>
      <c r="J12" s="150"/>
    </row>
    <row r="13" spans="2:10" ht="19.95" customHeight="1">
      <c r="B13" s="151" t="s">
        <v>1</v>
      </c>
      <c r="C13" s="151"/>
      <c r="D13" s="151"/>
      <c r="E13" s="84" t="s">
        <v>152</v>
      </c>
      <c r="G13" s="151" t="s">
        <v>1</v>
      </c>
      <c r="H13" s="151"/>
      <c r="I13" s="151"/>
      <c r="J13" s="84" t="s">
        <v>97</v>
      </c>
    </row>
    <row r="14" spans="2:10" ht="40.049999999999997" customHeight="1">
      <c r="B14" s="58" t="s">
        <v>77</v>
      </c>
      <c r="C14" s="59" t="s">
        <v>78</v>
      </c>
      <c r="D14" s="59" t="s">
        <v>79</v>
      </c>
      <c r="E14" s="60" t="s">
        <v>6</v>
      </c>
      <c r="G14" s="58" t="s">
        <v>77</v>
      </c>
      <c r="H14" s="59" t="s">
        <v>78</v>
      </c>
      <c r="I14" s="59" t="s">
        <v>79</v>
      </c>
      <c r="J14" s="60" t="s">
        <v>6</v>
      </c>
    </row>
    <row r="15" spans="2:10" ht="19.95" customHeight="1" thickBot="1">
      <c r="B15" s="9" t="s">
        <v>80</v>
      </c>
      <c r="C15" s="10" t="s">
        <v>159</v>
      </c>
      <c r="D15" s="11" t="s">
        <v>160</v>
      </c>
      <c r="E15" s="12" t="str">
        <f>IF(AND(E16="O",E21="O"),"O","X")</f>
        <v>X</v>
      </c>
      <c r="G15" s="9" t="s">
        <v>80</v>
      </c>
      <c r="H15" s="10" t="s">
        <v>159</v>
      </c>
      <c r="I15" s="11" t="s">
        <v>160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168</v>
      </c>
      <c r="D16" s="15" t="s">
        <v>161</v>
      </c>
      <c r="E16" s="33" t="str">
        <f>IF(COUNTIF(E17:E20,"O")=COUNTA(E17:E20),"O","X")</f>
        <v>X</v>
      </c>
      <c r="G16" s="13">
        <v>1</v>
      </c>
      <c r="H16" s="14" t="s">
        <v>168</v>
      </c>
      <c r="I16" s="15" t="s">
        <v>161</v>
      </c>
      <c r="J16" s="33" t="str">
        <f>IF(COUNTIF(J17:J22,"O")=COUNTA(J17:J22),"O","X")</f>
        <v>X</v>
      </c>
    </row>
    <row r="17" spans="2:15" ht="19.95" customHeight="1">
      <c r="B17" s="44" t="s">
        <v>149</v>
      </c>
      <c r="C17" s="45" t="s">
        <v>162</v>
      </c>
      <c r="D17" s="85"/>
      <c r="E17" s="47" t="str">
        <f>IF(SUMIF(기초및전공과목!$V$6:$V$1000,"재료과학",기초및전공과목!$X$6:$X$1000)&gt;0,"O","X")</f>
        <v>X</v>
      </c>
      <c r="G17" s="44" t="s">
        <v>149</v>
      </c>
      <c r="H17" s="45" t="s">
        <v>162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166</v>
      </c>
      <c r="C18" s="29" t="s">
        <v>163</v>
      </c>
      <c r="D18" s="86"/>
      <c r="E18" s="70" t="str">
        <f>IF(SUMIF(기초및전공과목!$V$6:$V$1000,"고분자과학",기초및전공과목!$X$6:$X$1000)&gt;0,"O","X")</f>
        <v>X</v>
      </c>
      <c r="G18" s="16" t="s">
        <v>166</v>
      </c>
      <c r="H18" s="17" t="s">
        <v>171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167</v>
      </c>
      <c r="C19" s="29" t="s">
        <v>164</v>
      </c>
      <c r="D19" s="86"/>
      <c r="E19" s="70" t="str">
        <f>IF(SUMIF(기초및전공과목!$V$6:$V$1000,"전자재료실험",기초및전공과목!$X$6:$X$1000)&gt;0,"O","X")</f>
        <v>X</v>
      </c>
      <c r="G19" s="16" t="s">
        <v>167</v>
      </c>
      <c r="H19" s="17" t="s">
        <v>172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65</v>
      </c>
      <c r="C20" s="10" t="s">
        <v>165</v>
      </c>
      <c r="D20" s="88"/>
      <c r="E20" s="23" t="str">
        <f>IF(SUMIF(기초및전공과목!$V$6:$V$1000,"유기재료실험",기초및전공과목!$X$6:$X$1000)&gt;0,"O","X")</f>
        <v>X</v>
      </c>
      <c r="G20" s="28" t="s">
        <v>173</v>
      </c>
      <c r="H20" s="29" t="s">
        <v>163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169</v>
      </c>
      <c r="D21" s="26" t="s">
        <v>255</v>
      </c>
      <c r="E21" s="33" t="str">
        <f>IF(E22&gt;=30,"O","X")</f>
        <v>X</v>
      </c>
      <c r="G21" s="28" t="s">
        <v>174</v>
      </c>
      <c r="H21" s="29" t="s">
        <v>164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170</v>
      </c>
      <c r="D22" s="56" t="s">
        <v>155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70</v>
      </c>
      <c r="H22" s="10" t="s">
        <v>165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169</v>
      </c>
      <c r="I23" s="26" t="s">
        <v>255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170</v>
      </c>
      <c r="I24" s="56" t="s">
        <v>156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50" t="s">
        <v>176</v>
      </c>
      <c r="C26" s="150"/>
      <c r="D26" s="150"/>
      <c r="E26" s="150"/>
      <c r="G26" s="150" t="s">
        <v>176</v>
      </c>
      <c r="H26" s="150"/>
      <c r="I26" s="150"/>
      <c r="J26" s="150"/>
      <c r="L26" s="150" t="s">
        <v>176</v>
      </c>
      <c r="M26" s="150"/>
      <c r="N26" s="150"/>
      <c r="O26" s="150"/>
    </row>
    <row r="27" spans="2:15" ht="19.95" customHeight="1">
      <c r="B27" s="151" t="s">
        <v>1</v>
      </c>
      <c r="C27" s="151"/>
      <c r="D27" s="151"/>
      <c r="E27" s="84">
        <v>15</v>
      </c>
      <c r="G27" s="151" t="s">
        <v>1</v>
      </c>
      <c r="H27" s="151"/>
      <c r="I27" s="151"/>
      <c r="J27" s="84" t="s">
        <v>186</v>
      </c>
      <c r="L27" s="151" t="s">
        <v>1</v>
      </c>
      <c r="M27" s="151"/>
      <c r="N27" s="151"/>
      <c r="O27" s="84" t="s">
        <v>188</v>
      </c>
    </row>
    <row r="28" spans="2:15" ht="40.049999999999997" customHeight="1">
      <c r="B28" s="58" t="s">
        <v>77</v>
      </c>
      <c r="C28" s="59" t="s">
        <v>78</v>
      </c>
      <c r="D28" s="59" t="s">
        <v>79</v>
      </c>
      <c r="E28" s="60" t="s">
        <v>6</v>
      </c>
      <c r="G28" s="58" t="s">
        <v>77</v>
      </c>
      <c r="H28" s="59" t="s">
        <v>78</v>
      </c>
      <c r="I28" s="59" t="s">
        <v>79</v>
      </c>
      <c r="J28" s="60" t="s">
        <v>6</v>
      </c>
      <c r="L28" s="58" t="s">
        <v>77</v>
      </c>
      <c r="M28" s="59" t="s">
        <v>78</v>
      </c>
      <c r="N28" s="59" t="s">
        <v>79</v>
      </c>
      <c r="O28" s="60" t="s">
        <v>6</v>
      </c>
    </row>
    <row r="29" spans="2:15" ht="19.95" customHeight="1" thickBot="1">
      <c r="B29" s="9" t="s">
        <v>80</v>
      </c>
      <c r="C29" s="10" t="s">
        <v>177</v>
      </c>
      <c r="D29" s="11" t="s">
        <v>160</v>
      </c>
      <c r="E29" s="12" t="str">
        <f>IF(AND(E30="O",E35="O"),"O","X")</f>
        <v>X</v>
      </c>
      <c r="G29" s="9" t="s">
        <v>80</v>
      </c>
      <c r="H29" s="10" t="s">
        <v>177</v>
      </c>
      <c r="I29" s="11" t="s">
        <v>160</v>
      </c>
      <c r="J29" s="12" t="str">
        <f>IF(AND(J30="O",J33="O"),"O","X")</f>
        <v>X</v>
      </c>
      <c r="L29" s="9" t="s">
        <v>80</v>
      </c>
      <c r="M29" s="10" t="s">
        <v>177</v>
      </c>
      <c r="N29" s="11" t="s">
        <v>160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178</v>
      </c>
      <c r="D30" s="15" t="s">
        <v>161</v>
      </c>
      <c r="E30" s="33" t="str">
        <f>IF(COUNTIF(E31:E34,"O")=COUNTA(E31:E34),"O","X")</f>
        <v>X</v>
      </c>
      <c r="G30" s="13">
        <v>1</v>
      </c>
      <c r="H30" s="14" t="s">
        <v>178</v>
      </c>
      <c r="I30" s="15" t="s">
        <v>161</v>
      </c>
      <c r="J30" s="33" t="str">
        <f>IF(COUNTIF(J31:J32,"O")=COUNTA(J31:J32),"O","X")</f>
        <v>X</v>
      </c>
      <c r="L30" s="13">
        <v>1</v>
      </c>
      <c r="M30" s="14" t="s">
        <v>178</v>
      </c>
      <c r="N30" s="15" t="s">
        <v>161</v>
      </c>
      <c r="O30" s="33" t="str">
        <f>IF(COUNTIF(O31:O36,"O")=COUNTA(O31:O36),"O","X")</f>
        <v>X</v>
      </c>
    </row>
    <row r="31" spans="2:15" ht="19.95" customHeight="1">
      <c r="B31" s="44" t="s">
        <v>149</v>
      </c>
      <c r="C31" s="45" t="s">
        <v>182</v>
      </c>
      <c r="D31" s="85" t="s">
        <v>183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149</v>
      </c>
      <c r="H31" s="45" t="s">
        <v>180</v>
      </c>
      <c r="I31" s="85"/>
      <c r="J31" s="70" t="str">
        <f>IF(SUMIF(기초및전공과목!$AB$6:$AB$1000,"기구동역학*",기초및전공과목!$AD$6:$AD$1000)&gt;0,"O","X")</f>
        <v>X</v>
      </c>
      <c r="L31" s="44" t="s">
        <v>149</v>
      </c>
      <c r="M31" s="45" t="s">
        <v>171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166</v>
      </c>
      <c r="C32" s="29" t="s">
        <v>179</v>
      </c>
      <c r="D32" s="86"/>
      <c r="E32" s="70" t="str">
        <f>IF(SUMIF(기초및전공과목!$AB$6:$AB$1000,"고체역학*",기초및전공과목!$AD$6:$AD$1000)&gt;0,"O","X")</f>
        <v>X</v>
      </c>
      <c r="G32" s="20" t="s">
        <v>166</v>
      </c>
      <c r="H32" s="21" t="s">
        <v>187</v>
      </c>
      <c r="I32" s="88"/>
      <c r="J32" s="23" t="str">
        <f>IF(SUMIF(기초및전공과목!$AB$6:$AB$1000,"유체역학*",기초및전공과목!$AD$6:$AD$1000)&gt;0,"O","X")</f>
        <v>X</v>
      </c>
      <c r="L32" s="28" t="s">
        <v>166</v>
      </c>
      <c r="M32" s="29" t="s">
        <v>179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167</v>
      </c>
      <c r="C33" s="29" t="s">
        <v>180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184</v>
      </c>
      <c r="I33" s="26" t="s">
        <v>255</v>
      </c>
      <c r="J33" s="33" t="str">
        <f>IF(J34&gt;=30,"O","X")</f>
        <v>X</v>
      </c>
      <c r="L33" s="28" t="s">
        <v>167</v>
      </c>
      <c r="M33" s="29" t="s">
        <v>187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65</v>
      </c>
      <c r="C34" s="21" t="s">
        <v>181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185</v>
      </c>
      <c r="I34" s="56" t="s">
        <v>155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173</v>
      </c>
      <c r="M34" s="29" t="s">
        <v>189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184</v>
      </c>
      <c r="D35" s="26" t="s">
        <v>255</v>
      </c>
      <c r="E35" s="33" t="str">
        <f>IF(E36&gt;=30,"O","X")</f>
        <v>X</v>
      </c>
      <c r="L35" s="28" t="s">
        <v>174</v>
      </c>
      <c r="M35" s="29" t="s">
        <v>190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185</v>
      </c>
      <c r="D36" s="56" t="s">
        <v>155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192</v>
      </c>
      <c r="M36" s="21" t="s">
        <v>191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184</v>
      </c>
      <c r="N37" s="26" t="s">
        <v>157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185</v>
      </c>
      <c r="N38" s="56" t="s">
        <v>156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50" t="s">
        <v>193</v>
      </c>
      <c r="C40" s="150"/>
      <c r="D40" s="150"/>
      <c r="E40" s="150"/>
      <c r="G40" s="150" t="s">
        <v>193</v>
      </c>
      <c r="H40" s="150"/>
      <c r="I40" s="150"/>
      <c r="J40" s="150"/>
    </row>
    <row r="41" spans="2:15" ht="19.95" customHeight="1">
      <c r="B41" s="151" t="s">
        <v>1</v>
      </c>
      <c r="C41" s="151"/>
      <c r="D41" s="151"/>
      <c r="E41" s="84" t="s">
        <v>204</v>
      </c>
      <c r="G41" s="151" t="s">
        <v>1</v>
      </c>
      <c r="H41" s="151"/>
      <c r="I41" s="151"/>
      <c r="J41" s="84" t="s">
        <v>188</v>
      </c>
    </row>
    <row r="42" spans="2:15" ht="40.049999999999997" customHeight="1">
      <c r="B42" s="58" t="s">
        <v>77</v>
      </c>
      <c r="C42" s="59" t="s">
        <v>78</v>
      </c>
      <c r="D42" s="59" t="s">
        <v>79</v>
      </c>
      <c r="E42" s="60" t="s">
        <v>6</v>
      </c>
      <c r="G42" s="58" t="s">
        <v>77</v>
      </c>
      <c r="H42" s="59" t="s">
        <v>78</v>
      </c>
      <c r="I42" s="59" t="s">
        <v>79</v>
      </c>
      <c r="J42" s="60" t="s">
        <v>6</v>
      </c>
    </row>
    <row r="43" spans="2:15" ht="19.95" customHeight="1" thickBot="1">
      <c r="B43" s="9" t="s">
        <v>80</v>
      </c>
      <c r="C43" s="10" t="s">
        <v>194</v>
      </c>
      <c r="D43" s="11" t="s">
        <v>160</v>
      </c>
      <c r="E43" s="12" t="str">
        <f>IF(AND(E44="O",E51="O"),"O","X")</f>
        <v>X</v>
      </c>
      <c r="G43" s="9" t="s">
        <v>80</v>
      </c>
      <c r="H43" s="10" t="s">
        <v>194</v>
      </c>
      <c r="I43" s="11" t="s">
        <v>160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195</v>
      </c>
      <c r="D44" s="15" t="s">
        <v>161</v>
      </c>
      <c r="E44" s="33" t="str">
        <f>IF(COUNTIF(E45:E50,"O")=COUNTA(E45:E50),"O","X")</f>
        <v>X</v>
      </c>
      <c r="G44" s="13">
        <v>1</v>
      </c>
      <c r="H44" s="14" t="s">
        <v>195</v>
      </c>
      <c r="I44" s="15" t="s">
        <v>161</v>
      </c>
      <c r="J44" s="33" t="str">
        <f>IF(COUNTIF(J45:J49,"O")=COUNTA(J45:J49),"O","X")</f>
        <v>X</v>
      </c>
    </row>
    <row r="45" spans="2:15" ht="19.95" customHeight="1">
      <c r="B45" s="44" t="s">
        <v>149</v>
      </c>
      <c r="C45" s="45" t="s">
        <v>196</v>
      </c>
      <c r="D45" s="85"/>
      <c r="E45" s="70" t="str">
        <f>IF(SUMIF(기초및전공과목!$AH$6:$AH$1000,"환경공학",기초및전공과목!$AJ$6:$AJ$1000)&gt;0,"O","X")</f>
        <v>X</v>
      </c>
      <c r="G45" s="44" t="s">
        <v>149</v>
      </c>
      <c r="H45" s="45" t="s">
        <v>196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166</v>
      </c>
      <c r="C46" s="29" t="s">
        <v>197</v>
      </c>
      <c r="D46" s="166" t="s">
        <v>254</v>
      </c>
      <c r="E46" s="70" t="str">
        <f>IF(SUMIF(기초및전공과목!$AH$6:$AH$1000,OR("대기학", "지구시스템과학"),기초및전공과목!$AJ$6:$AJ$1000)&gt;0,"O","X")</f>
        <v>X</v>
      </c>
      <c r="G46" s="28" t="s">
        <v>166</v>
      </c>
      <c r="H46" s="29" t="s">
        <v>199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167</v>
      </c>
      <c r="C47" s="29" t="s">
        <v>198</v>
      </c>
      <c r="D47" s="167"/>
      <c r="E47" s="70" t="str">
        <f>IF(SUMIF(기초및전공과목!$AH$6:$AH$1000,OR("해양학", "지구시스템과학"),기초및전공과목!$AJ$6:$AJ$1000)&gt;0,"O","X")</f>
        <v>X</v>
      </c>
      <c r="G47" s="28" t="s">
        <v>167</v>
      </c>
      <c r="H47" s="29" t="s">
        <v>205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173</v>
      </c>
      <c r="C48" s="29" t="s">
        <v>199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173</v>
      </c>
      <c r="H48" s="29" t="s">
        <v>201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174</v>
      </c>
      <c r="C49" s="29" t="s">
        <v>200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68</v>
      </c>
      <c r="H49" s="21" t="s">
        <v>206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70</v>
      </c>
      <c r="C50" s="21" t="s">
        <v>201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202</v>
      </c>
      <c r="I50" s="26" t="s">
        <v>157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202</v>
      </c>
      <c r="D51" s="26" t="s">
        <v>255</v>
      </c>
      <c r="E51" s="33" t="str">
        <f>IF(E52&gt;=30,"O","X")</f>
        <v>X</v>
      </c>
      <c r="G51" s="54" t="s">
        <v>19</v>
      </c>
      <c r="H51" s="55" t="s">
        <v>203</v>
      </c>
      <c r="I51" s="56" t="s">
        <v>156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203</v>
      </c>
      <c r="D52" s="56" t="s">
        <v>155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50" t="s">
        <v>207</v>
      </c>
      <c r="C54" s="150"/>
      <c r="D54" s="150"/>
      <c r="E54" s="150"/>
      <c r="G54" s="150" t="s">
        <v>207</v>
      </c>
      <c r="H54" s="150"/>
      <c r="I54" s="150"/>
      <c r="J54" s="150"/>
    </row>
    <row r="55" spans="2:10" ht="19.95" customHeight="1">
      <c r="B55" s="151" t="s">
        <v>1</v>
      </c>
      <c r="C55" s="151"/>
      <c r="D55" s="151"/>
      <c r="E55" s="84" t="s">
        <v>204</v>
      </c>
      <c r="G55" s="151" t="s">
        <v>1</v>
      </c>
      <c r="H55" s="151"/>
      <c r="I55" s="151"/>
      <c r="J55" s="84" t="s">
        <v>97</v>
      </c>
    </row>
    <row r="56" spans="2:10" ht="40.049999999999997" customHeight="1">
      <c r="B56" s="58" t="s">
        <v>77</v>
      </c>
      <c r="C56" s="59" t="s">
        <v>78</v>
      </c>
      <c r="D56" s="59" t="s">
        <v>79</v>
      </c>
      <c r="E56" s="60" t="s">
        <v>6</v>
      </c>
      <c r="G56" s="58" t="s">
        <v>77</v>
      </c>
      <c r="H56" s="59" t="s">
        <v>78</v>
      </c>
      <c r="I56" s="59" t="s">
        <v>79</v>
      </c>
      <c r="J56" s="60" t="s">
        <v>6</v>
      </c>
    </row>
    <row r="57" spans="2:10" ht="19.95" customHeight="1" thickBot="1">
      <c r="B57" s="9" t="s">
        <v>80</v>
      </c>
      <c r="C57" s="10" t="s">
        <v>208</v>
      </c>
      <c r="D57" s="11" t="s">
        <v>160</v>
      </c>
      <c r="E57" s="12" t="str">
        <f>IF(AND(E58="O",E64="O"),"O","X")</f>
        <v>X</v>
      </c>
      <c r="G57" s="9" t="s">
        <v>80</v>
      </c>
      <c r="H57" s="10" t="s">
        <v>208</v>
      </c>
      <c r="I57" s="11" t="s">
        <v>160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209</v>
      </c>
      <c r="D58" s="15" t="s">
        <v>161</v>
      </c>
      <c r="E58" s="33" t="str">
        <f>IF(COUNTIF(E60:E63,"O")=COUNTA(E60:E63),"O","X")</f>
        <v>X</v>
      </c>
      <c r="G58" s="13">
        <v>1</v>
      </c>
      <c r="H58" s="14" t="s">
        <v>209</v>
      </c>
      <c r="I58" s="15" t="s">
        <v>161</v>
      </c>
      <c r="J58" s="33" t="str">
        <f>IF(COUNTIF(J59:J65,"O")=COUNTA(J59:J65),"O","X")</f>
        <v>X</v>
      </c>
    </row>
    <row r="59" spans="2:10" ht="19.95" customHeight="1">
      <c r="B59" s="44" t="s">
        <v>149</v>
      </c>
      <c r="C59" s="45" t="s">
        <v>216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149</v>
      </c>
      <c r="H59" s="45" t="s">
        <v>214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166</v>
      </c>
      <c r="C60" s="17" t="s">
        <v>213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166</v>
      </c>
      <c r="H60" s="29" t="s">
        <v>215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167</v>
      </c>
      <c r="C61" s="29" t="s">
        <v>210</v>
      </c>
      <c r="E61" s="70" t="str">
        <f>IF(SUMIF(기초및전공과목!$AN$6:$AN$1000,"세포생물학",기초및전공과목!$AP$6:$AP$1000)&gt;0,"O","X")</f>
        <v>X</v>
      </c>
      <c r="G61" s="28" t="s">
        <v>167</v>
      </c>
      <c r="H61" s="29" t="s">
        <v>212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173</v>
      </c>
      <c r="C62" s="29" t="s">
        <v>212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173</v>
      </c>
      <c r="H62" s="29" t="s">
        <v>216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68</v>
      </c>
      <c r="C63" s="21" t="s">
        <v>211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174</v>
      </c>
      <c r="H63" s="89" t="s">
        <v>217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218</v>
      </c>
      <c r="D64" s="26" t="s">
        <v>255</v>
      </c>
      <c r="E64" s="33" t="str">
        <f>IF(E65&gt;=30,"O","X")</f>
        <v>X</v>
      </c>
      <c r="G64" s="91" t="s">
        <v>192</v>
      </c>
      <c r="H64" s="89" t="s">
        <v>210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219</v>
      </c>
      <c r="D65" s="56" t="s">
        <v>155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72</v>
      </c>
      <c r="H65" s="21" t="s">
        <v>211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218</v>
      </c>
      <c r="I66" s="26" t="s">
        <v>157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219</v>
      </c>
      <c r="I67" s="56" t="s">
        <v>156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50" t="s">
        <v>220</v>
      </c>
      <c r="C69" s="150"/>
      <c r="D69" s="150"/>
      <c r="E69" s="150"/>
      <c r="G69" s="150" t="s">
        <v>220</v>
      </c>
      <c r="H69" s="150"/>
      <c r="I69" s="150"/>
      <c r="J69" s="150"/>
    </row>
    <row r="70" spans="2:10" ht="19.95" customHeight="1">
      <c r="B70" s="151" t="s">
        <v>1</v>
      </c>
      <c r="C70" s="151"/>
      <c r="D70" s="151"/>
      <c r="E70" s="84" t="s">
        <v>204</v>
      </c>
      <c r="G70" s="151" t="s">
        <v>1</v>
      </c>
      <c r="H70" s="151"/>
      <c r="I70" s="151"/>
      <c r="J70" s="84" t="s">
        <v>188</v>
      </c>
    </row>
    <row r="71" spans="2:10" ht="40.049999999999997" customHeight="1">
      <c r="B71" s="58" t="s">
        <v>77</v>
      </c>
      <c r="C71" s="59" t="s">
        <v>78</v>
      </c>
      <c r="D71" s="59" t="s">
        <v>79</v>
      </c>
      <c r="E71" s="60" t="s">
        <v>6</v>
      </c>
      <c r="G71" s="58" t="s">
        <v>77</v>
      </c>
      <c r="H71" s="59" t="s">
        <v>78</v>
      </c>
      <c r="I71" s="59" t="s">
        <v>79</v>
      </c>
      <c r="J71" s="60" t="s">
        <v>6</v>
      </c>
    </row>
    <row r="72" spans="2:10" ht="19.95" customHeight="1" thickBot="1">
      <c r="B72" s="9" t="s">
        <v>80</v>
      </c>
      <c r="C72" s="10" t="s">
        <v>228</v>
      </c>
      <c r="D72" s="11" t="s">
        <v>160</v>
      </c>
      <c r="E72" s="12" t="str">
        <f>IF(OR(E73="O",E80="O"),"O","X")</f>
        <v>X</v>
      </c>
      <c r="G72" s="9" t="s">
        <v>80</v>
      </c>
      <c r="H72" s="10" t="s">
        <v>228</v>
      </c>
      <c r="I72" s="11" t="s">
        <v>160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229</v>
      </c>
      <c r="D73" s="15" t="s">
        <v>161</v>
      </c>
      <c r="E73" s="33" t="str">
        <f>IF(COUNTIF(E74:E79,"O")=COUNTA(E74:E79),"O","X")</f>
        <v>X</v>
      </c>
      <c r="G73" s="13">
        <v>1</v>
      </c>
      <c r="H73" s="14" t="s">
        <v>229</v>
      </c>
      <c r="I73" s="15" t="s">
        <v>161</v>
      </c>
      <c r="J73" s="33" t="str">
        <f>IF(COUNTIF(J74:J81,"O")=COUNTA(J74:J81),"O","X")</f>
        <v>X</v>
      </c>
    </row>
    <row r="74" spans="2:10" ht="19.95" customHeight="1">
      <c r="B74" s="44" t="s">
        <v>149</v>
      </c>
      <c r="C74" s="45" t="s">
        <v>221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149</v>
      </c>
      <c r="H74" s="45" t="s">
        <v>232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166</v>
      </c>
      <c r="C75" s="29" t="s">
        <v>222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166</v>
      </c>
      <c r="H75" s="29" t="s">
        <v>233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167</v>
      </c>
      <c r="C76" s="29" t="s">
        <v>223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167</v>
      </c>
      <c r="H76" s="29" t="s">
        <v>234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173</v>
      </c>
      <c r="C77" s="29" t="s">
        <v>224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173</v>
      </c>
      <c r="H77" s="29" t="s">
        <v>222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174</v>
      </c>
      <c r="C78" s="89" t="s">
        <v>225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174</v>
      </c>
      <c r="H78" s="89" t="s">
        <v>223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70</v>
      </c>
      <c r="C79" s="21" t="s">
        <v>226</v>
      </c>
      <c r="D79" s="88" t="s">
        <v>227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192</v>
      </c>
      <c r="H79" s="89" t="s">
        <v>224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230</v>
      </c>
      <c r="D80" s="26" t="s">
        <v>255</v>
      </c>
      <c r="E80" s="33" t="str">
        <f>IF(E81&gt;=30,"O","X")</f>
        <v>X</v>
      </c>
      <c r="G80" s="91" t="s">
        <v>235</v>
      </c>
      <c r="H80" s="89" t="s">
        <v>225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231</v>
      </c>
      <c r="D81" s="56" t="s">
        <v>155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236</v>
      </c>
      <c r="H81" s="21" t="s">
        <v>237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230</v>
      </c>
      <c r="I82" s="26" t="s">
        <v>157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231</v>
      </c>
      <c r="I83" s="56" t="s">
        <v>156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50" t="s">
        <v>238</v>
      </c>
      <c r="C85" s="150"/>
      <c r="D85" s="150"/>
      <c r="E85" s="150"/>
      <c r="G85" s="150" t="s">
        <v>238</v>
      </c>
      <c r="H85" s="150"/>
      <c r="I85" s="150"/>
      <c r="J85" s="150"/>
    </row>
    <row r="86" spans="2:10" ht="19.95" customHeight="1">
      <c r="B86" s="151" t="s">
        <v>1</v>
      </c>
      <c r="C86" s="151"/>
      <c r="D86" s="151"/>
      <c r="E86" s="84" t="s">
        <v>204</v>
      </c>
      <c r="G86" s="151" t="s">
        <v>1</v>
      </c>
      <c r="H86" s="151"/>
      <c r="I86" s="151"/>
      <c r="J86" s="84" t="s">
        <v>188</v>
      </c>
    </row>
    <row r="87" spans="2:10" ht="40.049999999999997" customHeight="1">
      <c r="B87" s="58" t="s">
        <v>77</v>
      </c>
      <c r="C87" s="59" t="s">
        <v>78</v>
      </c>
      <c r="D87" s="59" t="s">
        <v>79</v>
      </c>
      <c r="E87" s="60" t="s">
        <v>6</v>
      </c>
      <c r="G87" s="58" t="s">
        <v>77</v>
      </c>
      <c r="H87" s="59" t="s">
        <v>78</v>
      </c>
      <c r="I87" s="59" t="s">
        <v>79</v>
      </c>
      <c r="J87" s="60" t="s">
        <v>6</v>
      </c>
    </row>
    <row r="88" spans="2:10" ht="19.95" customHeight="1" thickBot="1">
      <c r="B88" s="9" t="s">
        <v>80</v>
      </c>
      <c r="C88" s="10" t="s">
        <v>239</v>
      </c>
      <c r="D88" s="11" t="s">
        <v>160</v>
      </c>
      <c r="E88" s="12" t="str">
        <f>IF(OR(E89="O",E95="O"),"O","X")</f>
        <v>X</v>
      </c>
      <c r="G88" s="9" t="s">
        <v>80</v>
      </c>
      <c r="H88" s="10" t="s">
        <v>239</v>
      </c>
      <c r="I88" s="11" t="s">
        <v>160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240</v>
      </c>
      <c r="D89" s="15" t="s">
        <v>161</v>
      </c>
      <c r="E89" s="33" t="str">
        <f>IF(COUNTIF(E90:E94,"O")=COUNTA(E90:E94),"O","X")</f>
        <v>X</v>
      </c>
      <c r="G89" s="13">
        <v>1</v>
      </c>
      <c r="H89" s="14" t="s">
        <v>240</v>
      </c>
      <c r="I89" s="15" t="s">
        <v>161</v>
      </c>
      <c r="J89" s="33" t="str">
        <f>IF(COUNTIF(J90:J96,"O")=COUNTA(J90:J96),"O","X")</f>
        <v>X</v>
      </c>
    </row>
    <row r="90" spans="2:10" ht="19.95" customHeight="1">
      <c r="B90" s="44" t="s">
        <v>149</v>
      </c>
      <c r="C90" s="45" t="s">
        <v>243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149</v>
      </c>
      <c r="H90" s="45" t="s">
        <v>241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166</v>
      </c>
      <c r="C91" s="29" t="s">
        <v>244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166</v>
      </c>
      <c r="H91" s="29" t="s">
        <v>242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167</v>
      </c>
      <c r="C92" s="29" t="s">
        <v>245</v>
      </c>
      <c r="D92" s="86" t="s">
        <v>247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167</v>
      </c>
      <c r="H92" s="29" t="s">
        <v>250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173</v>
      </c>
      <c r="C93" s="29" t="s">
        <v>246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173</v>
      </c>
      <c r="H93" s="29" t="s">
        <v>251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174</v>
      </c>
      <c r="C94" s="21" t="s">
        <v>216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174</v>
      </c>
      <c r="H94" s="89" t="s">
        <v>252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248</v>
      </c>
      <c r="D95" s="26" t="s">
        <v>255</v>
      </c>
      <c r="E95" s="33" t="str">
        <f>IF(E96&gt;=30,"O","X")</f>
        <v>X</v>
      </c>
      <c r="G95" s="91" t="s">
        <v>192</v>
      </c>
      <c r="H95" s="89" t="s">
        <v>216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249</v>
      </c>
      <c r="D96" s="56" t="s">
        <v>155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235</v>
      </c>
      <c r="H96" s="21" t="s">
        <v>253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248</v>
      </c>
      <c r="I97" s="26" t="s">
        <v>157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249</v>
      </c>
      <c r="I98" s="56" t="s">
        <v>156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70:D70"/>
    <mergeCell ref="G69:J69"/>
    <mergeCell ref="G70:I70"/>
    <mergeCell ref="B85:E85"/>
    <mergeCell ref="B86:D86"/>
    <mergeCell ref="G85:J85"/>
    <mergeCell ref="G86:I86"/>
    <mergeCell ref="B54:E54"/>
    <mergeCell ref="B55:D55"/>
    <mergeCell ref="G54:J54"/>
    <mergeCell ref="G55:I55"/>
    <mergeCell ref="B69:E69"/>
    <mergeCell ref="B40:E40"/>
    <mergeCell ref="B41:D41"/>
    <mergeCell ref="D46:D47"/>
    <mergeCell ref="G40:J40"/>
    <mergeCell ref="G41:I41"/>
    <mergeCell ref="B26:E26"/>
    <mergeCell ref="B27:D27"/>
    <mergeCell ref="G26:J26"/>
    <mergeCell ref="G27:I27"/>
    <mergeCell ref="L26:O26"/>
    <mergeCell ref="L27:N27"/>
    <mergeCell ref="B13:D13"/>
    <mergeCell ref="G12:J12"/>
    <mergeCell ref="G13:I13"/>
    <mergeCell ref="B2:E2"/>
    <mergeCell ref="B3:D3"/>
    <mergeCell ref="G2:J2"/>
    <mergeCell ref="G3:I3"/>
    <mergeCell ref="B12:E1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>
      <selection activeCell="D5" sqref="D5"/>
    </sheetView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2021-11-03T08:03:17Z</dcterms:modified>
</cp:coreProperties>
</file>